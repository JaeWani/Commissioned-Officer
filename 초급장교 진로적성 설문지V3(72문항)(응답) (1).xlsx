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 sheetId="1" r:id="rId5"/>
    <sheet state="visible" name="설문시트" sheetId="2" r:id="rId6"/>
    <sheet state="visible" name="분석자료" sheetId="3" r:id="rId7"/>
    <sheet state="hidden" name="DO NOT DELETE - AutoCrat Job Se" sheetId="4" r:id="rId8"/>
  </sheets>
  <definedNames>
    <definedName hidden="1" localSheetId="0" name="_xlnm._FilterDatabase">'시트'!$A$1:$P$2</definedName>
  </definedNames>
  <calcPr/>
</workbook>
</file>

<file path=xl/sharedStrings.xml><?xml version="1.0" encoding="utf-8"?>
<sst xmlns="http://schemas.openxmlformats.org/spreadsheetml/2006/main" count="3598" uniqueCount="1202">
  <si>
    <t>Job ID</t>
  </si>
  <si>
    <t>이름</t>
  </si>
  <si>
    <t>Job Name</t>
  </si>
  <si>
    <t>Template ID</t>
  </si>
  <si>
    <t>Data Sheet ID</t>
  </si>
  <si>
    <t>Header Row</t>
  </si>
  <si>
    <t>First Data Row</t>
  </si>
  <si>
    <t>File Name</t>
  </si>
  <si>
    <t>File Type</t>
  </si>
  <si>
    <t>Share As</t>
  </si>
  <si>
    <t>Folders</t>
  </si>
  <si>
    <t>Dynamic Folder Reference</t>
  </si>
  <si>
    <t>유형</t>
  </si>
  <si>
    <t>Conditionals</t>
  </si>
  <si>
    <t>Mode</t>
  </si>
  <si>
    <t>Append Breaks</t>
  </si>
  <si>
    <t>Tags</t>
  </si>
  <si>
    <t>Run On Time Trigger</t>
  </si>
  <si>
    <t>Time Trigger Frequency</t>
  </si>
  <si>
    <t>Run On Form Trigger</t>
  </si>
  <si>
    <t>Send Email And Share</t>
  </si>
  <si>
    <t>Email To</t>
  </si>
  <si>
    <t>임관년도</t>
  </si>
  <si>
    <t>Email CC</t>
  </si>
  <si>
    <t>Email BCC</t>
  </si>
  <si>
    <t>MBTI</t>
  </si>
  <si>
    <t>Email Reply To</t>
  </si>
  <si>
    <t>이메일</t>
  </si>
  <si>
    <t>Email No Reply</t>
  </si>
  <si>
    <t>Email Subject</t>
  </si>
  <si>
    <t>Email Body</t>
  </si>
  <si>
    <t>Prevent Resharing</t>
  </si>
  <si>
    <t>적성분야설명</t>
  </si>
  <si>
    <t>Time Trigger Timestamp</t>
  </si>
  <si>
    <t>Form Trigger Timestamp</t>
  </si>
  <si>
    <t>야전·실무형(R)</t>
  </si>
  <si>
    <t>_1786425348498</t>
  </si>
  <si>
    <t>기술·분석형(I)</t>
  </si>
  <si>
    <t>장교 진로적합도 검사(72문항)</t>
  </si>
  <si>
    <t>1-hYVQWU1627d5DLZ1VvJw9xsWLF-tN_wHaz8rd5xi4M</t>
  </si>
  <si>
    <t>창의형(A)</t>
  </si>
  <si>
    <t>관계형(S)</t>
  </si>
  <si>
    <t>리더형(E)</t>
  </si>
  <si>
    <t>행정·관리형(C)</t>
  </si>
  <si>
    <t>적성분야</t>
  </si>
  <si>
    <t>귀하의 진로적성검사 결과를 종합하면 야전·실무형(R) 성향이 두드러지며, 이는 장비 운용과 현장 중심의 임무 수행에서 강점을 보이는 전형적인 야전형 장교로 성장할 가능성을 의미합니다. 이러한 성향은 군 환경에서 전투장비 운용과 유지관리, 전술적 운용, 병력 통제 등 실제 전투력과 직결되는 분야에서 특히 중요한 역할을 하며, 전투장비를 운용하는 보병(기보)·포병·기갑·방공·육군항공과 같은 전투임무 위주 병과뿐 아니라 공병, 정보통신,화학 등 기술 기반 병과에서도 높은 적합성을 보입니다. 전투병과 특기 선택시는 작전, 군수, 획득분야가 가장 적합합니다. 또한 군수, 병기, 병참, 수송 분야에서도 장비 관리와 운용 능력을 효과적으로 발휘할 수 있습니다. 전문인력 분야로는 통신·공병 등 기술 전문 분야나 무기체계 획득 및 관리와 같은 획득 전문 영역, 장비 중심 연구개발 분야에서도 발전 가능성이 큽니다. 현실형 장교는 전투 및 훈련 상황에서 빠르고 정확한 판단과 실행력을 바탕으로 가시적인 성과를 창출하며, 부하들에게 신뢰를 주는 장점이 있습니다. 다만 단기적 실행에 집중하는 경향으로 인해 장기적 안목 형성과 체계적인 기획 능력, 세밀한 의사소통, 유연한 상황 대응 및 병사 개개인에 대한 심리적 관리 측면에서는 보완이 필요합니다. 따라서 리더형(E, 리더십)이나 행정관리형(C, 정확한 업무수행) 성향을 함께 강화한다면 더욱 높은 성과를 기대할 수 있습니다.</t>
  </si>
  <si>
    <t>&lt;&lt;이름&gt;&gt;_진로적성검사_2026</t>
  </si>
  <si>
    <t>PDF</t>
  </si>
  <si>
    <t>["0B9fRADtnaqnxSUxDV1g4cWFWaEk"]</t>
  </si>
  <si>
    <t>[]</t>
  </si>
  <si>
    <t xml:space="preserve">귀하의 검사 결과, 기술·분석형(I) 성향이 중심적으로 나타났습니다. 분석적 사고와 문제 해결 능력이 뛰어나며, 복잡한 시스템과 정보를 이해하고 활용하는 데 강점을 지닌 유형입니다. 군에서는 이러한 능력이 정보전, 기술전, 미래전 수행에 핵심적으로 활용됩니다. 귀하에게는 정보, 정보통신, 화학 병과 등이 특히 적합하며, 기술적 분석이 요구되는 공병 및 항공 분야에서도 역량을 발휘할 수 있습니다. 전문인력 분야에서는 사이버, 연구개발, 국방분석 등 특수전문 영역이 적합하며, 정책전문이나 국제전문 분야에서도 분석 기반 의사결정 능력을 활용할 수 있습니다. 향후에는 기술적 이해뿐 아니라 야전에서 실제 적용 능력을 함께 강화하는 것이 중요합니다. 야전·실무형(R, 현장감각)이나 행정관리형(C, 체계적 업무수행) 성향을 보완한다면 실무와 분석을 겸비한 핵심 인재로 성장할 수 있습니다. 그러나 현상 분석에 집중하는 경향으로 인해 의사결정이 지연되거나 실행력이 부족해질 수 있음을 유의해야 합니다. 위에서 추천드린 병과 역시 지휘관 직위를 필수로 이수해야 하므로 야전부대 현장 감각을 유지하고 의사소통 및 대인관계 형성과 같은 리더십을 함양에도 힘써야 합니다.  </t>
  </si>
  <si>
    <t>MULTIPLE_OUTPUT</t>
  </si>
  <si>
    <t>Merged Doc ID - 장교 진로 접합도 검사(72문항)</t>
  </si>
  <si>
    <t>[{"type":"STANDARD","tag":"이름","details":{"headerMap":"이름","isUnmapped":false}},{"tag":"유형","type":"STANDARD","details":{"isUnmapped":false,"headerMap":"유형"}},{"details":{"isUnmapped":false,"headerMap":"적성분야설명"},"tag":"적성분야설명","type":"STANDARD"}]</t>
  </si>
  <si>
    <t>&lt;&lt;이메일&gt;&gt;</t>
  </si>
  <si>
    <t>장교 진로 적합도 검사 결과</t>
  </si>
  <si>
    <t>&lt;&lt;이름&gt;&gt;님의 장교 진로 적합도 검사결과입니다. 붙임문서를 참조해 주세요.</t>
  </si>
  <si>
    <t>2026-08-26T04:18:46.725Z</t>
  </si>
  <si>
    <t xml:space="preserve">귀하의 진로적성검사 결과, 창의형(A) 성향이 높게 나타났습니다. 창의적인 표현과 방법, 새로운 아이디어를 통해 조직에 활력을 불어넣는 역할을 합니다. 군 조직에서는 이러한 성향이 장병 사기진작, 홍보, 심리전, 문화 활동 등에서 중요한 의미를 갖습니다. 귀하에게는 전투병과 인사특기,정훈병과가 적합하며, 인사근무 및 사기진작 활동, 영상 제작 및 콘텐츠 기획을 통한 군 홍보활동 등의 분야에서 강점을 발휘할 수 있습니다. 또한 인사행정이나 군사경찰 기능 중 일부 분야에서도 창의적 역할을 수행할 수 있습니다. 전문인력 분야에서는 정책전문(국방정책 홍보) 또는 국방홍보원 등의 미디어 분야로의 확장이 가능합니다. 군 조직 특성상 기본적인 규율과 체계 적응이 중요하므로, 행정관리형(C, 규율중시, 정확성)이나 관계형(S, 협업관계) 역량을 함께 보완한다면 보다 안정적인 성과를 낼 수 있습니다. 위에서 추천드린 전투병과(인사특기), 군사경찰 병과 역시 지휘관 직위를 필수로 이수해야 하므로 야전부대 현장 감각을 유지하고 의사소통 및 대인관계 형성과 같은 리더십을 함양에도 힘써야 합니다.  </t>
  </si>
  <si>
    <t xml:space="preserve">귀하의 검사 결과, 관계형(S) 성향이 중심적으로 나타났습니다. 사람을 이해하고 돕는 데 강점을 가진 유형으로, 조직 내 안정과 협력을 이끄는 중요한 역할을 수행합니다. 귀하에게는 전투병과(인사특기, 작전특기), 인사행정, 정훈, 군의, 의정, 간호 분야가 적합하여, 대인관계 중심 역할에서 역량을 발휘할 수 있습니다. 전문인력 분야에서는 정책전문(교육, 복지 및 인사 정책), 국제전문(협력 및 교류), 교육·교수 중심의 특수전문 분야가 적합합니다. 향후에는 조직 운영 능력을 강화하는 것이 중요합니다. 야전·실무형(R, 병력 및 장비운용)과 리더형(E,리더십) 성향을 함께 발전시키면 지휘 및 관리 역할에서도 큰 강점을 발휘할 수 있습니다.  위에서 추천드린 전투병과(인사특기, 작전특기)는 지휘관 직위를 필수로 이수해야 하므로 야전부대 현장 감각을 유지하며 리더십 함양에도 힘써야 합니다.  </t>
  </si>
  <si>
    <t>Merged Doc URL - 장교 진로 접합도 검사(72문항)</t>
  </si>
  <si>
    <t>귀하의 검사 결과, 리더형(E) 성향이 강하게 나타났습니다. 리더십과 의사결정 능력(협의, 조정)이 뛰어나며, 조직을 이끌고 목표를 달성하는 데 강점을 가진 유형입니다. 또한 이 유형은 상황을 빠르게 파악하고 방향을 설정하여 조직을 이끄는 능력이 뛰어나며, 부하들을 동기부여하고 목표 달성을 위해 자원을 효과적으로 배분하는 데 능숙합니다. 군에서는 이러한 성향이 지휘관 역할과 직결됩니다. 귀하에게는 보병, 포병, 기갑 등 모든 전투 병과에서의 전투부대 지휘 역할에 적합하여 조직 관리 능력을 발휘할 수 있습니다. 전문인력 분야에서는 정책전문, 국제전문(무관 등), 획득전문(방위사업 관련) 분야가 적합합니다. 향후에는 단순한 리더십을 넘어 전문성과 현장 이해를 함께 갖추는 것이 중요합니다. 야전·실무형(R,현장감각)이나 관계형(S,대인관계) 성향을 보완한다면 더욱 균형 잡힌 지휘관으로 성장할 수 있습니다. 또한 전투병과 장교는 지휘관과 참모직위를 모두 이수해야 하므로 참모로서의 섬세함과 업무관리 능력을 함양해야 한다.</t>
  </si>
  <si>
    <t>Link to merged Doc - 장교 진로 접합도 검사(72문항)</t>
  </si>
  <si>
    <t>Document Merge Status - 장교 진로 접합도 검사(72문항)</t>
  </si>
  <si>
    <t>Merged Doc ID - 장교 진로 적합도 검사(72문항)</t>
  </si>
  <si>
    <t>Merged Doc URL - 장교 진로 적합도 검사(72문항)</t>
  </si>
  <si>
    <t xml:space="preserve">귀하의 진로적성검사 결과, 행정·관리형(C) 성향이 중심적으로 나타났습니다. 체계적인 관리와 정확한 업무 수행에 강점을 가진 유형으로, 군 조직의 안정적 운영을 유지하는 데 필수적인 역할을 담당합니다. 귀하에게는 인사행정, 재정, 군수, 병참, 병기, 군사경찰, 법무 분야가 적합합니다. 전문인력 분야에서는 정책전문(행정 및 제도, 인력운영), 획득전문(방산 계약 및 관리), 기술전문(체계 운영), 특수전문(국방분석) 분야가 적합합니다. 향후에는 정확성과 함께 상황 대응 능력을 함께 강화하는 것이 중요합니다. 야전·실무형(R, 현장감각, 창의적 사고 및 표현) 또는 기술·분석형(I, 분석능력) 성향을 보완하면 보다 실무 중심의 경쟁력을 갖출 수 있습니다. 위에서 추천드린 기술병과, 행정병과(군사경찰)는 지휘관 직위를 필수로 이수해야 하므로 현장 감각을 유지하며 리더십 함양에도 힘써야 합니다.  </t>
  </si>
  <si>
    <t>Link to merged Doc - 장교 진로 적합도 검사(72문항)</t>
  </si>
  <si>
    <t>Document Merge Status - 장교 진로 적합도 검사(72문항)</t>
  </si>
  <si>
    <t>Merged Doc ID - 장교 진로적합도 검사(72문항)</t>
  </si>
  <si>
    <t>Merged Doc URL - 장교 진로적합도 검사(72문항)</t>
  </si>
  <si>
    <t>Link to merged Doc - 장교 진로적합도 검사(72문항)</t>
  </si>
  <si>
    <t>Document Merge Status - 장교 진로적합도 검사(72문항)</t>
  </si>
  <si>
    <t>Merged Doc ID - 장교 진로 적합도 검사(72문항_)</t>
  </si>
  <si>
    <t>Merged Doc URL - 장교 진로 적합도 검사(72문항_)</t>
  </si>
  <si>
    <t>Link to merged Doc - 장교 진로 적합도 검사(72문항_)</t>
  </si>
  <si>
    <t>Document Merge Status - 장교 진로 적합도 검사(72문항_)</t>
  </si>
  <si>
    <t>스크립트_처리상태</t>
  </si>
  <si>
    <t>스크립트_처리시각</t>
  </si>
  <si>
    <t>스크립트_PDF_FILE_ID</t>
  </si>
  <si>
    <t>스크립트_PDF_URL</t>
  </si>
  <si>
    <t>스크립트_오류내용</t>
  </si>
  <si>
    <t>스크립트_시도횟수</t>
  </si>
  <si>
    <t>스크립트_Brevo_Message_ID</t>
  </si>
  <si>
    <t>타임스탬프</t>
  </si>
  <si>
    <t>본인은 위에 제시된 개인정보 제공사항에 동의하십니까?</t>
  </si>
  <si>
    <t>이름(별칭도 가능)</t>
  </si>
  <si>
    <t>임관년도(형식 : 0000)</t>
  </si>
  <si>
    <t>MBTI (대문자로 표시)</t>
  </si>
  <si>
    <t>이메일 (army.mil 불가)</t>
  </si>
  <si>
    <t>제목 없는 질문 [군 장비(차량, 화기, 장비)를 직접 다루고 정비하는 것이 좋다]</t>
  </si>
  <si>
    <t>제목 없는 질문 [군 장비나 시스템의 작동 원리를 분석하는 것이 흥미롭다]</t>
  </si>
  <si>
    <t>제목 없는 질문 [군 홍보물, 영상, 디자인 작업에 관심이 있다]</t>
  </si>
  <si>
    <t>제목 없는 질문 [동료나 후임을 도와주는 것에서 보람을 느낀다]</t>
  </si>
  <si>
    <t>제목 없는 질문 [팀이나 분대를 이끄는 역할을 맡고 싶다]</t>
  </si>
  <si>
    <t>제목 없는 질문 [군 행정업무(문서, 보고서 작성)를 정확하게 수행할 수 있다]</t>
  </si>
  <si>
    <t>제목 없는 질문 [총기 등의 장비를 분해하고 내부 구조를 이해하는 것을 좋아한다]</t>
  </si>
  <si>
    <t>제목 없는 질문 [데이터를 기반으로 상황을 분석하고 결론을 도출하는 것을 좋아한다]</t>
  </si>
  <si>
    <t>제목 없는 질문 [창의적인 방식의 임무수행을 좋아한다]</t>
  </si>
  <si>
    <t>제목 없는 질문 [부대원을 교육하거나 지도하는 역할에 관심이 있다]</t>
  </si>
  <si>
    <t>제목 없는 질문 [중요한 결정을 내리는 위치에 서고 싶다]</t>
  </si>
  <si>
    <t>제목 없는 질문 [군 규정과 절차를 철저히 지키는 것이 중요하다고 생각한다]</t>
  </si>
  <si>
    <t>제목 없는 질문 [실내 근무보다 야외에서 임무를 수행하는 것을 선호한다]</t>
  </si>
  <si>
    <t>제목 없는 질문 [문제를 논리적으로 해결하는 데 자신이 있다]</t>
  </si>
  <si>
    <t>제목 없는 질문 [사진 촬영이나 영상 편집에 흥미가 있다]</t>
  </si>
  <si>
    <t>제목 없는 질문 [부대원의 고민을 잘 들어주고 공감하는 편이다]</t>
  </si>
  <si>
    <t>제목 없는 질문 [명확한 목표를 세우고 부대원을 이끄는 데 자신 있다]</t>
  </si>
  <si>
    <t>제목 없는 질문 [물자와 보급품을 체계적으로 관리할 수 있다]</t>
  </si>
  <si>
    <t>제목 없는 질문 [공구를 사용하여 전투장비나 시설을 수리하는 데 거부감이 없다]</t>
  </si>
  <si>
    <t>제목 없는 질문 [새로운 기술(IT, 무기체계 등)을 배우는 것이 즐겁다]</t>
  </si>
  <si>
    <t>제목 없는 질문 [음악, 공연, 문화 활동에 참여하는 것을 즐긴다]</t>
  </si>
  <si>
    <t>제목 없는 질문 [부대 내 분위기를 좋게 만드는 데 기여하고 싶다]</t>
  </si>
  <si>
    <t>제목 없는 질문 [부대원을 설득하고 동기를 부여할 수 있다]</t>
  </si>
  <si>
    <t>제목 없는 질문 [기록 및 정리 업무를 꼼꼼하게 수행할 수 있다]</t>
  </si>
  <si>
    <t>제목 없는 질문 [통신 장비나 케이블을 설치·점검하는 작업을 할 수 있다]</t>
  </si>
  <si>
    <t>제목 없는 질문 [작전 상황을 분석하고 미래를 예측하는 역할에 관심 있다]</t>
  </si>
  <si>
    <t>제목 없는 질문 [기존 방식보다 새로운 아이디어를 제시하는 편이다]</t>
  </si>
  <si>
    <t>제목 없는 질문 [전우애를 중요하게 생각한다]</t>
  </si>
  <si>
    <t>제목 없는 질문 [위기 상황에서 책임지고 판단할 수 있다]</t>
  </si>
  <si>
    <t>제목 없는 질문 [반복적인 업무도 꾸준히 수행할 수 있다]</t>
  </si>
  <si>
    <t>제목 없는 질문 [반복적인 전투장비 점검 및 유지보수 작업을 수행할 수 있다]</t>
  </si>
  <si>
    <t>제목 없는 질문 [복잡한 문제도 끝까지 파고들어 해결하려는 성향이 있다]</t>
  </si>
  <si>
    <t>제목 없는 질문 [디자인이나 콘텐츠 제작 활동을 좋아한다]</t>
  </si>
  <si>
    <t>제목 없는 질문 [갈등 상황에서 중재하는 역할을 맡을 수 있다]</t>
  </si>
  <si>
    <t>제목 없는 질문 [경쟁 상황에서 앞서고 싶은 욕구가 강하다]</t>
  </si>
  <si>
    <t>제목 없는 질문 [숫자나 장부 관리에 자신이 있다]</t>
  </si>
  <si>
    <t>제목 없는 질문 [몸을 쓰는 훈련이나 작업이 많은 임무를 선호한다]</t>
  </si>
  <si>
    <t>제목 없는 질문 [전투 장비나 지휘통제 시스템 운용 업무에 흥미가 있다]</t>
  </si>
  <si>
    <t>제목 없는 질문 [감정이나 생각을 표현하는 활동에 거리낌이 없다]</t>
  </si>
  <si>
    <t>제목 없는 질문 [다른 사람의 성장이나 적응을 돕는 일에 관심 있다]</t>
  </si>
  <si>
    <t>제목 없는 질문 [군대 조직 내에서 영향력을 발휘하고 싶다]</t>
  </si>
  <si>
    <t>제목 없는 질문 [계획된 일정에 따라 움직이는 것을 선호한다]</t>
  </si>
  <si>
    <t>제목 없는 질문 [전투장비 고장 시 원인을 직접 찾아 해결하는 것이 흥미롭다]</t>
  </si>
  <si>
    <t>제목 없는 질문 [정보 수집 후 이를 체계적으로 정리하고 분석할 수 있다]</t>
  </si>
  <si>
    <t>제목 없는 질문 [군의 틀에 박힌 방식보다 자유로운 표현을 선호한다]</t>
  </si>
  <si>
    <t>제목 없는 질문 [부대원과 협력하여 문제를 해결하는 것을 선호한다]</t>
  </si>
  <si>
    <t>제목 없는 질문 [부대원 앞에서 발표하거나 지시하는 것이 어렵지 않다]</t>
  </si>
  <si>
    <t>제목 없는 질문 [실수 없이 정확하게 일을 처리하는 것이 중요하다]</t>
  </si>
  <si>
    <t>제목 없는 질문 [위험 요소가 있는 부대 현장 작업에서도 침착하게 임무를 수행할 수 있다]</t>
  </si>
  <si>
    <t>제목 없는 질문 [훈련간 발생한 문제의 원인과 결과를 따져보는 사고방식을 자주 사용한다]</t>
  </si>
  <si>
    <t>제목 없는 질문 [시각적 요소(포스터, 영상 등)에 관심이 많다]</t>
  </si>
  <si>
    <t>제목 없는 질문 [부대원들과 소통하는 것이 어렵지 않다]</t>
  </si>
  <si>
    <t>제목 없는 질문 [임무 달성을 위해 적극적으로 행동하는 편이다]</t>
  </si>
  <si>
    <t>제목 없는 질문 [체계적인 부대 시스템 속에서 일하는 것이 편하다]</t>
  </si>
  <si>
    <t>제목 없는 질문 [매뉴얼에 따라 장비를 정확하게 다루는 것이 중요하다고 생각한다]</t>
  </si>
  <si>
    <t>제목 없는 질문 [단순 반복 업무보다 문제 해결 중심의 업무를 선호한다]</t>
  </si>
  <si>
    <t>제목 없는 질문 [부대 내에서 창의적인 역할을 맡고 싶다]</t>
  </si>
  <si>
    <t>제목 없는 질문 [부대 내에서 배려와 지원 역할을 자연스럽게 맡는다]</t>
  </si>
  <si>
    <t>제목 없는 질문 [지휘자(관)로서 인정받는 것에 동기부여를 느낀다]</t>
  </si>
  <si>
    <t>제목 없는 질문 [정해진 양식과 기준에 맞춰 일을 수행하는 것을 선호한다]</t>
  </si>
  <si>
    <t>제목 없는 질문 [장비 운용 시 안전과 임무 효율 사이의 균형을 고려할 수 있다]</t>
  </si>
  <si>
    <t>제목 없는 질문 [기술적 오류나 이상 징후를 논리적으로 추적해 원인을 규명하려 한다]</t>
  </si>
  <si>
    <t>제목 없는 질문 [복잡한 메시지를 간결하고 인상적으로 표현하려 한다]</t>
  </si>
  <si>
    <t>제목 없는 질문 [계급 차이가 있어도 구성원의 의견을 존중하며 소통하려 한다]</t>
  </si>
  <si>
    <t>제목 없는 질문 [실패의 책임을 회피하기보다 스스로 감당하려는 태도를 가진다]</t>
  </si>
  <si>
    <t>제목 없는 질문 [규정 준수가 안전한 임무수행과 직결된다고 인식한다]</t>
  </si>
  <si>
    <t>제목 없는 질문 [장비 손실이나 고장 상황에서도 대체 수단을 빠르게 찾는 편이다]</t>
  </si>
  <si>
    <t>제목 없는 질문 [불완전한 정보 속에서도 상황을 추론하고 판단 근거를 만들 수 있다]</t>
  </si>
  <si>
    <t>제목 없는 질문 [정형화된 보고 방식 외에도 상황에 맞는 표현 방식을 고민한다]</t>
  </si>
  <si>
    <t>제목 없는 질문 [스트레스 상황에 놓인 부대원의 심리 상태를 빠르게 파악하려 한다]</t>
  </si>
  <si>
    <t>제목 없는 질문 [제한된 시간 내 우선순위를 설정하고 조직을 움직일 수 있다]</t>
  </si>
  <si>
    <t>제목 없는 질문 [작은 행정 오류도 전체 임무에 영향을 줄 수 있다고 생각한다]</t>
  </si>
  <si>
    <t>동의합니다.</t>
  </si>
  <si>
    <t>최종혁</t>
  </si>
  <si>
    <t>Intp</t>
  </si>
  <si>
    <t>jonghyeokchoi77@gmail.com</t>
  </si>
  <si>
    <t>ERROR: Invalid Email Address</t>
  </si>
  <si>
    <t>너ㅓㅁ</t>
  </si>
  <si>
    <t>HHIK</t>
  </si>
  <si>
    <t>1IV1pwtmfvm5MlG7dlYwDbre6pHeS7PjI</t>
  </si>
  <si>
    <t>https://drive.google.com/file/d/1IV1pwtmfvm5MlG7dlYwDbre6pHeS7PjI/view?usp=drivesdk</t>
  </si>
  <si>
    <t>김민석</t>
  </si>
  <si>
    <t>Document successfully created; Document successfully merged; PDF created; Manually run by jeongjinung4@gmail.com; Timestamp: Aug 13, 2026 12:03 AM</t>
  </si>
  <si>
    <t>ESTP</t>
  </si>
  <si>
    <t>SENT</t>
  </si>
  <si>
    <t>sdijk2114@naver.com</t>
  </si>
  <si>
    <t>재발송오류</t>
  </si>
  <si>
    <t>수식 결과가 준비되지 않았습니다. 행: 2</t>
  </si>
  <si>
    <t>1-0RO3NrgxfxyRJeHSN-4akdrCnVx0OeA</t>
  </si>
  <si>
    <t>https://drive.google.com/file/d/1-0RO3NrgxfxyRJeHSN-4akdrCnVx0OeA/view?usp=drivesdk</t>
  </si>
  <si>
    <t>Document successfully created; Document successfully merged; PDF created; Manually run by jeongjinung4@gmail.com; Timestamp: Aug 13, 2026 12:50 AM</t>
  </si>
  <si>
    <t>1KdBrPVfN8pl2bRjryvrYxC0AF6PKQC7L</t>
  </si>
  <si>
    <t>https://drive.google.com/file/d/1KdBrPVfN8pl2bRjryvrYxC0AF6PKQC7L/view?usp=drivesdk</t>
  </si>
  <si>
    <t>Document successfully created; Document successfully merged; PDF created; Manually run by jeongjinung4@gmail.com; Timestamp: Aug 13, 2026 1:02 AM</t>
  </si>
  <si>
    <t>Jejsj</t>
  </si>
  <si>
    <t>Ahah</t>
  </si>
  <si>
    <t>1W-oWx_3ctKLtW9gVxNH-oyNmgjvhqUrT</t>
  </si>
  <si>
    <t>https://drive.google.com/file/d/1W-oWx_3ctKLtW9gVxNH-oyNmgjvhqUrT/view?usp=drivesdk</t>
  </si>
  <si>
    <t>80 황우진</t>
  </si>
  <si>
    <t>ENFJ</t>
  </si>
  <si>
    <t>a52154309@gmail.com</t>
  </si>
  <si>
    <t>144wcmvlQy_ITIep6ift_l2hfNl8ySgrB</t>
  </si>
  <si>
    <t>https://drive.google.com/file/d/144wcmvlQy_ITIep6ift_l2hfNl8ySgrB/view?usp=drivesdk</t>
  </si>
  <si>
    <t>Bdhdh</t>
  </si>
  <si>
    <t>Jaja</t>
  </si>
  <si>
    <t>1u36TW0H2J4_dtDzllqptBT8fuTzYkwhY</t>
  </si>
  <si>
    <t>https://drive.google.com/file/d/1u36TW0H2J4_dtDzllqptBT8fuTzYkwhY/view?usp=drivesdk</t>
  </si>
  <si>
    <t>Document successfully created; Document successfully merged; PDF created; Run via form trigger as jeongjinung4@gmail.com; Timestamp: Aug 13, 2026 1:21 AM</t>
  </si>
  <si>
    <t>Shej</t>
  </si>
  <si>
    <t>Shhs</t>
  </si>
  <si>
    <t>1vo1rB6vwCKjIy1t2I8ljlSMwn-q2P6cv</t>
  </si>
  <si>
    <t>https://drive.google.com/file/d/1vo1rB6vwCKjIy1t2I8ljlSMwn-q2P6cv/view?usp=drivesdk</t>
  </si>
  <si>
    <t>Document successfully created; Document successfully merged; PDF created; Run via form trigger as jeongjinung4@gmail.com; Timestamp: Aug 13, 2026 1:26 AM</t>
  </si>
  <si>
    <t>Llll</t>
  </si>
  <si>
    <t>1_kdhskxzCes-CLYCtHw-cueVjOPugmez</t>
  </si>
  <si>
    <t>https://drive.google.com/file/d/1_kdhskxzCes-CLYCtHw-cueVjOPugmez/view?usp=drivesdk</t>
  </si>
  <si>
    <t>Document successfully created; Document successfully merged; PDF created; Run via form trigger as jeongjinung4@gmail.com; Timestamp: Aug 13, 2026 1:29 AM</t>
  </si>
  <si>
    <t>테스트</t>
  </si>
  <si>
    <t>enrud1103@naver.com</t>
  </si>
  <si>
    <t>1uIc2jVTPADxfQL9QOXXBCov_l9G5Tl53</t>
  </si>
  <si>
    <t>https://drive.google.com/file/d/1uIc2jVTPADxfQL9QOXXBCov_l9G5Tl53/view?usp=drivesdk</t>
  </si>
  <si>
    <t>Document successfully created; Document successfully merged; PDF created; Run via form trigger as jeongjinung4@gmail.com; Timestamp: Aug 13, 2026 1:45 AM</t>
  </si>
  <si>
    <t>이상준</t>
  </si>
  <si>
    <t>ESFJ</t>
  </si>
  <si>
    <t>william0724@naver.com</t>
  </si>
  <si>
    <t>1noC7m_W_Tcqiihiaxr4EWdEm8wtp0AKt</t>
  </si>
  <si>
    <t>https://drive.google.com/file/d/1noC7m_W_Tcqiihiaxr4EWdEm8wtp0AKt/view?usp=drivesdk</t>
  </si>
  <si>
    <t>Document successfully created; Document successfully merged; PDF created; Run via form trigger as jeongjinung4@gmail.com; Timestamp: Aug 13, 2026 1:50 AM</t>
  </si>
  <si>
    <t>강재우</t>
  </si>
  <si>
    <t>ISFP</t>
  </si>
  <si>
    <t>kjw020219@gmail.com</t>
  </si>
  <si>
    <t>1tihl1yNwF6prmqhhJp2geT-D4cvfCTMH</t>
  </si>
  <si>
    <t>https://drive.google.com/file/d/1tihl1yNwF6prmqhhJp2geT-D4cvfCTMH/view?usp=drivesdk</t>
  </si>
  <si>
    <t>Document successfully created; Document successfully merged; PDF created; Run via form trigger as jeongjinung4@gmail.com; Timestamp: Aug 13, 2026 1:51 AM</t>
  </si>
  <si>
    <t>이재완</t>
  </si>
  <si>
    <t>INTJ</t>
  </si>
  <si>
    <t>sdh220216@sdh.hs.kr</t>
  </si>
  <si>
    <t>14NKD0cZHbATNwnFwiavMZEv6hIn4w7H6</t>
  </si>
  <si>
    <t>https://drive.google.com/file/d/14NKD0cZHbATNwnFwiavMZEv6hIn4w7H6/view?usp=drivesdk</t>
  </si>
  <si>
    <t>Document successfully created; Document successfully merged; PDF created; Run via form trigger as jeongjinung4@gmail.com; Timestamp: Aug 13, 2026 2:16 AM</t>
  </si>
  <si>
    <t>jonghyeokchoi@gmail.com</t>
  </si>
  <si>
    <t>13tK4fO9NOyBeRqkwrzv2gBrZWlpBHgZo</t>
  </si>
  <si>
    <t>https://drive.google.com/file/d/13tK4fO9NOyBeRqkwrzv2gBrZWlpBHgZo/view?usp=drivesdk</t>
  </si>
  <si>
    <t>Document successfully created; Document successfully merged; PDF created; Run via form trigger as jeongjinung4@gmail.com; Timestamp: Aug 13, 2026 2:18 AM</t>
  </si>
  <si>
    <t>재발송완료</t>
  </si>
  <si>
    <t>1pQ4IrmYM9grvLxeoPGFH2RfySIteJSup</t>
  </si>
  <si>
    <t>https://drive.google.com/file/d/1pQ4IrmYM9grvLxeoPGFH2RfySIteJSup/view?usp=drivesdk</t>
  </si>
  <si>
    <t>&lt;202609070012.14497679086@smtp-relay.mailin.fr&gt;</t>
  </si>
  <si>
    <t>유성혁</t>
  </si>
  <si>
    <t>ESTJ</t>
  </si>
  <si>
    <t>kimnummun@gmail.com</t>
  </si>
  <si>
    <t>1zjuWJq9vmOdzqJZevIsiaLd8NCLTkDsg</t>
  </si>
  <si>
    <t>https://drive.google.com/file/d/1zjuWJq9vmOdzqJZevIsiaLd8NCLTkDsg/view?usp=drivesdk</t>
  </si>
  <si>
    <t>Document successfully created; Document successfully merged; PDF created; Run via form trigger as jeongjinung4@gmail.com; Timestamp: Aug 13, 2026 2:19 AM</t>
  </si>
  <si>
    <t>전태은</t>
  </si>
  <si>
    <t>ESFP</t>
  </si>
  <si>
    <t>jte0506@naver.com</t>
  </si>
  <si>
    <t>108P3955RebOzhC8_t9VyJxCdebxUlNOR</t>
  </si>
  <si>
    <t>https://drive.google.com/file/d/108P3955RebOzhC8_t9VyJxCdebxUlNOR/view?usp=drivesdk</t>
  </si>
  <si>
    <t>Document successfully created; Document successfully merged; PDF created; Run via form trigger as jeongjinung4@gmail.com; Timestamp: Aug 13, 2026 2:21 AM</t>
  </si>
  <si>
    <t>김규훜</t>
  </si>
  <si>
    <t>rbgns0105@gmail.com</t>
  </si>
  <si>
    <t>1Tsh5v1zU8aaV3uMa6QhZkFJKMZnDrrSq</t>
  </si>
  <si>
    <t>https://drive.google.com/file/d/1Tsh5v1zU8aaV3uMa6QhZkFJKMZnDrrSq/view?usp=drivesdk</t>
  </si>
  <si>
    <t>Document successfully created; Document successfully merged; PDF created; Run via form trigger as jeongjinung4@gmail.com; Timestamp: Aug 13, 2026 2:24 AM</t>
  </si>
  <si>
    <t>136s1UfcENWMfxvFHnoKav6jDj-SSUzdY</t>
  </si>
  <si>
    <t>https://drive.google.com/file/d/136s1UfcENWMfxvFHnoKav6jDj-SSUzdY/view?usp=drivesdk</t>
  </si>
  <si>
    <t>Document successfully created; Document successfully merged; PDF created; Run via form trigger as jeongjinung4@gmail.com; Timestamp: Aug 13, 2026 4:07 AM</t>
  </si>
  <si>
    <t>1wrUIK_BVu3RxQTNqwEnHjM76J4fFQJ--</t>
  </si>
  <si>
    <t>https://drive.google.com/file/d/1wrUIK_BVu3RxQTNqwEnHjM76J4fFQJ--/view?usp=drivesdk</t>
  </si>
  <si>
    <t>Document successfully created; Document successfully merged; PDF created; Run via form trigger as jeongjinung4@gmail.com; Timestamp: Aug 13, 2026 4:09 AM</t>
  </si>
  <si>
    <t>1NtRpzjcjaGEIr4IGqFBkpxzowl0DtJ6z</t>
  </si>
  <si>
    <t>https://drive.google.com/file/d/1NtRpzjcjaGEIr4IGqFBkpxzowl0DtJ6z/view?usp=drivesdk</t>
  </si>
  <si>
    <t>1EG1AAZhDO1U1O0sBfGT_iQ_nD5s4TCeW</t>
  </si>
  <si>
    <t>https://drive.google.com/file/d/1EG1AAZhDO1U1O0sBfGT_iQ_nD5s4TCeW/view?usp=drivesdk</t>
  </si>
  <si>
    <t>장재혁</t>
  </si>
  <si>
    <t>INFJ</t>
  </si>
  <si>
    <t>wkdwogur1201@naver.com</t>
  </si>
  <si>
    <t>1DE4QtkZwpBnKAaW8Ed-cUcGgNeNA6qWp</t>
  </si>
  <si>
    <t>https://drive.google.com/file/d/1DE4QtkZwpBnKAaW8Ed-cUcGgNeNA6qWp/view?usp=drivesdk</t>
  </si>
  <si>
    <t>Document successfully created; Document successfully merged; PDF created; Run via form trigger as jeongjinung4@gmail.com; Timestamp: Aug 13, 2026 5:20 AM</t>
  </si>
  <si>
    <t>박종민</t>
  </si>
  <si>
    <t>sunlight6543@naver.com</t>
  </si>
  <si>
    <t>19mpL21eoVjRAqB-FaBYRwntS_k2Vb-om</t>
  </si>
  <si>
    <t>https://drive.google.com/file/d/19mpL21eoVjRAqB-FaBYRwntS_k2Vb-om/view?usp=drivesdk</t>
  </si>
  <si>
    <t>Document successfully created; Document successfully merged; PDF created; Run via form trigger as jeongjinung4@gmail.com; Timestamp: Aug 13, 2026 6:03 AM</t>
  </si>
  <si>
    <t>문관우</t>
  </si>
  <si>
    <t>INTP</t>
  </si>
  <si>
    <t>qwersadzaee@gmail.com</t>
  </si>
  <si>
    <t>14zxTxPQ3MvRRc_1q6HNJ5U4DlsuWNW_h</t>
  </si>
  <si>
    <t>https://drive.google.com/file/d/14zxTxPQ3MvRRc_1q6HNJ5U4DlsuWNW_h/view?usp=drivesdk</t>
  </si>
  <si>
    <t>Document successfully created; Document successfully merged; PDF created; Run via form trigger as jeongjinung4@gmail.com; Timestamp: Aug 13, 2026 6:04 AM</t>
  </si>
  <si>
    <t>1GwZ0WUnW2cveojqlO3GJM8853HxpjiBw</t>
  </si>
  <si>
    <t>https://drive.google.com/file/d/1GwZ0WUnW2cveojqlO3GJM8853HxpjiBw/view?usp=drivesdk</t>
  </si>
  <si>
    <t>Document successfully created; Document successfully merged; PDF created; Run via form trigger as jeongjinung4@gmail.com; Timestamp: Aug 13, 2026 7:00 AM</t>
  </si>
  <si>
    <t>하연</t>
  </si>
  <si>
    <t>namhayeon7648@gmail.com</t>
  </si>
  <si>
    <t>1YIJ0wZtxKshozQoATUjV6IZDLgxMoxNB</t>
  </si>
  <si>
    <t>https://drive.google.com/file/d/1YIJ0wZtxKshozQoATUjV6IZDLgxMoxNB/view?usp=drivesdk</t>
  </si>
  <si>
    <t>Document successfully created; Document successfully merged; PDF created; Run via form trigger as jeongjinung4@gmail.com; Timestamp: Aug 13, 2026 9:08 AM</t>
  </si>
  <si>
    <t>안문기</t>
  </si>
  <si>
    <t>mungiahn@gmail.com</t>
  </si>
  <si>
    <t>1eHVr0Mm4g-8SmMXuaSnj5YxlLyQunRDo</t>
  </si>
  <si>
    <t>https://drive.google.com/file/d/1eHVr0Mm4g-8SmMXuaSnj5YxlLyQunRDo/view?usp=drivesdk</t>
  </si>
  <si>
    <t>Document successfully created; Document successfully merged; PDF created; Run via form trigger as jeongjinung4@gmail.com; Timestamp: Aug 13, 2026 11:07 AM</t>
  </si>
  <si>
    <t>최승준</t>
  </si>
  <si>
    <t>ENTJ</t>
  </si>
  <si>
    <t>paoyusha@naver.com</t>
  </si>
  <si>
    <t>1X0KgZDyD53aIGLnYvXS84Aqd1vONC87a</t>
  </si>
  <si>
    <t>https://drive.google.com/file/d/1X0KgZDyD53aIGLnYvXS84Aqd1vONC87a/view?usp=drivesdk</t>
  </si>
  <si>
    <t>Document successfully created; Document successfully merged; PDF created; Run via form trigger as jeongjinung4@gmail.com; Timestamp: Aug 13, 2026 6:12 PM</t>
  </si>
  <si>
    <t>kclee1982@naver.com</t>
  </si>
  <si>
    <t>1_M88-xln3-IFqfZcS2BcAQbpiwWSn0fg</t>
  </si>
  <si>
    <t>https://drive.google.com/file/d/1_M88-xln3-IFqfZcS2BcAQbpiwWSn0fg/view?usp=drivesdk</t>
  </si>
  <si>
    <t>Document successfully created; Document successfully merged; PDF created; Run via form trigger as jeongjinung4@gmail.com; Timestamp: Aug 13, 2026 6:48 PM</t>
  </si>
  <si>
    <t>1NvaLCat0cTBBCHY5brZsBArx3egcRzXL</t>
  </si>
  <si>
    <t>https://drive.google.com/file/d/1NvaLCat0cTBBCHY5brZsBArx3egcRzXL/view?usp=drivesdk</t>
  </si>
  <si>
    <t>Document successfully created; Document successfully merged; PDF created; Run via form trigger as jeongjinung4@gmail.com; Timestamp: Aug 13, 2026 7:00 PM</t>
  </si>
  <si>
    <t>1TwQLy568Q3xzdfapdaPviFdKCaomjeoX</t>
  </si>
  <si>
    <t>https://drive.google.com/file/d/1TwQLy568Q3xzdfapdaPviFdKCaomjeoX/view?usp=drivesdk</t>
  </si>
  <si>
    <t>Document successfully created; Document successfully merged; PDF created; Run via form trigger as jeongjinung4@gmail.com; Timestamp: Aug 13, 2026 7:07 PM</t>
  </si>
  <si>
    <t>규훈</t>
  </si>
  <si>
    <t>ckdjf</t>
  </si>
  <si>
    <t>1J_xXkWguuyqhNOm1bh22tcs9hQGrBeg2</t>
  </si>
  <si>
    <t>https://drive.google.com/file/d/1J_xXkWguuyqhNOm1bh22tcs9hQGrBeg2/view?usp=drivesdk</t>
  </si>
  <si>
    <t>Document successfully created; Document successfully merged; PDF created; Run via form trigger as jeongjinung4@gmail.com; Timestamp: Aug 13, 2026 7:13 PM</t>
  </si>
  <si>
    <t>1LdBglW9x-r6KoCjeabkaV60baz98bk4r</t>
  </si>
  <si>
    <t>https://drive.google.com/file/d/1LdBglW9x-r6KoCjeabkaV60baz98bk4r/view?usp=drivesdk</t>
  </si>
  <si>
    <t>1qtX5J4hmHNkHb6See4T2NIPA48odeJne</t>
  </si>
  <si>
    <t>https://drive.google.com/file/d/1qtX5J4hmHNkHb6See4T2NIPA48odeJne/view?usp=drivesdk</t>
  </si>
  <si>
    <t>Document successfully created; Document successfully merged; PDF created; Run via form trigger as jeongjinung4@gmail.com; Timestamp: Aug 13, 2026 7:14 PM</t>
  </si>
  <si>
    <t>estj</t>
  </si>
  <si>
    <t>1mmn1VYuJ7DBoQI2bbBX3uVklLLK1p40f</t>
  </si>
  <si>
    <t>https://drive.google.com/file/d/1mmn1VYuJ7DBoQI2bbBX3uVklLLK1p40f/view?usp=drivesdk</t>
  </si>
  <si>
    <t>Document successfully created; Document successfully merged; PDF created; Run via form trigger as jeongjinung4@gmail.com; Timestamp: Aug 13, 2026 7:25 PM</t>
  </si>
  <si>
    <t>1R5oaXZE5pJqUYPhwmhyJlYt_kShIYPoC</t>
  </si>
  <si>
    <t>https://drive.google.com/file/d/1R5oaXZE5pJqUYPhwmhyJlYt_kShIYPoC/view?usp=drivesdk</t>
  </si>
  <si>
    <t>Document successfully created; Document successfully merged; PDF created; Run via form trigger as jeongjinung4@gmail.com; Timestamp: Aug 13, 2026 8:22 PM</t>
  </si>
  <si>
    <t>김지욱</t>
  </si>
  <si>
    <t>rlawldnr2166@gmail.com</t>
  </si>
  <si>
    <t>1B_cw2WKu-MEiNkA8ShIp0eeCEi51KSQx</t>
  </si>
  <si>
    <t>https://drive.google.com/file/d/1B_cw2WKu-MEiNkA8ShIp0eeCEi51KSQx/view?usp=drivesdk</t>
  </si>
  <si>
    <t>Document successfully created; Document successfully merged; PDF created; Run via form trigger as jeongjinung4@gmail.com; Timestamp: Aug 13, 2026 8:41 PM</t>
  </si>
  <si>
    <t>12gbaaOEkPRbbHt9CgGu6Sf2CE2L-YXDj</t>
  </si>
  <si>
    <t>https://drive.google.com/file/d/12gbaaOEkPRbbHt9CgGu6Sf2CE2L-YXDj/view?usp=drivesdk</t>
  </si>
  <si>
    <t>양지현</t>
  </si>
  <si>
    <t>ary0423@gmail.com</t>
  </si>
  <si>
    <t>1G-T5pGyNLuYZRrpsIAB0lVdThmOQ5Pdz</t>
  </si>
  <si>
    <t>https://drive.google.com/file/d/1G-T5pGyNLuYZRrpsIAB0lVdThmOQ5Pdz/view?usp=drivesdk</t>
  </si>
  <si>
    <t>홍서희</t>
  </si>
  <si>
    <t>ISTJ</t>
  </si>
  <si>
    <t>sally770312@gmail.com</t>
  </si>
  <si>
    <t>1YRByEbm3uRjfKbOztBWKgz7ku_rCqmR3</t>
  </si>
  <si>
    <t>https://drive.google.com/file/d/1YRByEbm3uRjfKbOztBWKgz7ku_rCqmR3/view?usp=drivesdk</t>
  </si>
  <si>
    <t>문경록</t>
  </si>
  <si>
    <t>msa602568@naver.com</t>
  </si>
  <si>
    <t>1fYNn5Zz8uXKoH0n_mVjCxBLuKF8D_wbJ</t>
  </si>
  <si>
    <t>https://drive.google.com/file/d/1fYNn5Zz8uXKoH0n_mVjCxBLuKF8D_wbJ/view?usp=drivesdk</t>
  </si>
  <si>
    <t>이승주</t>
  </si>
  <si>
    <t>I</t>
  </si>
  <si>
    <t>leesj99991004@gmail.com</t>
  </si>
  <si>
    <t>1iCEcL1l8bPoLn8VpWouV_FHCbYbNntgR</t>
  </si>
  <si>
    <t>https://drive.google.com/file/d/1iCEcL1l8bPoLn8VpWouV_FHCbYbNntgR/view?usp=drivesdk</t>
  </si>
  <si>
    <t>Document successfully created; Document successfully merged; PDF created; Run via form trigger as jeongjinung4@gmail.com; Timestamp: Aug 13, 2026 8:42 PM</t>
  </si>
  <si>
    <t>유민서</t>
  </si>
  <si>
    <t>2022 학군사관60</t>
  </si>
  <si>
    <t>ISTP</t>
  </si>
  <si>
    <t>minseo_1020@naver.con</t>
  </si>
  <si>
    <t>18kRtuVhAq3eiIg1uQONJOB7MlFeKLELp</t>
  </si>
  <si>
    <t>https://drive.google.com/file/d/18kRtuVhAq3eiIg1uQONJOB7MlFeKLELp/view?usp=drivesdk</t>
  </si>
  <si>
    <t>유민기</t>
  </si>
  <si>
    <t>yumk0620@naver.com</t>
  </si>
  <si>
    <t>1jJW3GzppMY8cxLIhUqM5y3ikbzmFzKBz</t>
  </si>
  <si>
    <t>https://drive.google.com/file/d/1jJW3GzppMY8cxLIhUqM5y3ikbzmFzKBz/view?usp=drivesdk</t>
  </si>
  <si>
    <t>정형주</t>
  </si>
  <si>
    <t>INFP</t>
  </si>
  <si>
    <t>jeonghyoengju@gmail.com</t>
  </si>
  <si>
    <t>1AYgYSuTrHSjdKwnzPOhblZhQPpsTc0XI</t>
  </si>
  <si>
    <t>https://drive.google.com/file/d/1AYgYSuTrHSjdKwnzPOhblZhQPpsTc0XI/view?usp=drivesdk</t>
  </si>
  <si>
    <t>김정민</t>
  </si>
  <si>
    <t>kimddang0212@naver.com</t>
  </si>
  <si>
    <t>12zKcB9A19mY-Juqyt-PrZRbZ69Jm4Aa2</t>
  </si>
  <si>
    <t>https://drive.google.com/file/d/12zKcB9A19mY-Juqyt-PrZRbZ69Jm4Aa2/view?usp=drivesdk</t>
  </si>
  <si>
    <t>김원우</t>
  </si>
  <si>
    <t>ENFP</t>
  </si>
  <si>
    <t>kimwonwoo2003@naver.com</t>
  </si>
  <si>
    <t>1vzqspvPNnc9q1E1VZabp08z7XEVuwVWB</t>
  </si>
  <si>
    <t>https://drive.google.com/file/d/1vzqspvPNnc9q1E1VZabp08z7XEVuwVWB/view?usp=drivesdk</t>
  </si>
  <si>
    <t>티모대위</t>
  </si>
  <si>
    <t>Enfp</t>
  </si>
  <si>
    <t>2000aaron0002@gmail.com</t>
  </si>
  <si>
    <t>146Ca1uAgz86O48-JSvsJn-KEj40yf-uM</t>
  </si>
  <si>
    <t>https://drive.google.com/file/d/146Ca1uAgz86O48-JSvsJn-KEj40yf-uM/view?usp=drivesdk</t>
  </si>
  <si>
    <t>문종민</t>
  </si>
  <si>
    <t>mjm7784@naver.com</t>
  </si>
  <si>
    <t>18pFdGSorSzuwGHovSTXuXQuah26klDMI</t>
  </si>
  <si>
    <t>https://drive.google.com/file/d/18pFdGSorSzuwGHovSTXuXQuah26klDMI/view?usp=drivesdk</t>
  </si>
  <si>
    <t>이철규</t>
  </si>
  <si>
    <t>jka0528@naver.com</t>
  </si>
  <si>
    <t>13ZhAoMf-slAB8MozQ1OKBZT_G3_h9gUr</t>
  </si>
  <si>
    <t>https://drive.google.com/file/d/13ZhAoMf-slAB8MozQ1OKBZT_G3_h9gUr/view?usp=drivesdk</t>
  </si>
  <si>
    <t>김준모</t>
  </si>
  <si>
    <t>istp</t>
  </si>
  <si>
    <t>kjm095400@naver.com</t>
  </si>
  <si>
    <t>1tRonc2lpIc78vHDUGsRSqgewFgr-f-JH</t>
  </si>
  <si>
    <t>https://drive.google.com/file/d/1tRonc2lpIc78vHDUGsRSqgewFgr-f-JH/view?usp=drivesdk</t>
  </si>
  <si>
    <t>김성원</t>
  </si>
  <si>
    <t>kimseong01@naver.com</t>
  </si>
  <si>
    <t>1ctlRUPKa0xbWsj87Bekl9N8V-UfIA0af</t>
  </si>
  <si>
    <t>https://drive.google.com/file/d/1ctlRUPKa0xbWsj87Bekl9N8V-UfIA0af/view?usp=drivesdk</t>
  </si>
  <si>
    <t>이태준</t>
  </si>
  <si>
    <t>l223322@naver.com</t>
  </si>
  <si>
    <t>1LlOe1fbRPP1FcVsQGChuyjClTIqm4cTd</t>
  </si>
  <si>
    <t>https://drive.google.com/file/d/1LlOe1fbRPP1FcVsQGChuyjClTIqm4cTd/view?usp=drivesdk</t>
  </si>
  <si>
    <t>Document successfully created; Document successfully merged; PDF created; Run via form trigger as jeongjinung4@gmail.com; Timestamp: Aug 13, 2026 8:43 PM</t>
  </si>
  <si>
    <t>이장엽</t>
  </si>
  <si>
    <t>book3688@naver.com</t>
  </si>
  <si>
    <t>19WjIiff6r8K8D6DLeKJTDQcAutrwIRLk</t>
  </si>
  <si>
    <t>https://drive.google.com/file/d/19WjIiff6r8K8D6DLeKJTDQcAutrwIRLk/view?usp=drivesdk</t>
  </si>
  <si>
    <t>한재의</t>
  </si>
  <si>
    <t>jaeeui0403@naver.com</t>
  </si>
  <si>
    <t>1SkE8yJNgIF51gBrHkJiprvuwkW9Q579M</t>
  </si>
  <si>
    <t>https://drive.google.com/file/d/1SkE8yJNgIF51gBrHkJiprvuwkW9Q579M/view?usp=drivesdk</t>
  </si>
  <si>
    <t>이성욱</t>
  </si>
  <si>
    <t>himrlee1999@naver.com</t>
  </si>
  <si>
    <t>140mysuaN_qCB_Sxb0l_h7xKGiEZejRGJ</t>
  </si>
  <si>
    <t>https://drive.google.com/file/d/140mysuaN_qCB_Sxb0l_h7xKGiEZejRGJ/view?usp=drivesdk</t>
  </si>
  <si>
    <t>장민혁</t>
  </si>
  <si>
    <t>26.3.1</t>
  </si>
  <si>
    <t>mingur3114@naver.com</t>
  </si>
  <si>
    <t>1hvIwi8WI8_DmWFH_vG67btVkEQBFFewG</t>
  </si>
  <si>
    <t>https://drive.google.com/file/d/1hvIwi8WI8_DmWFH_vG67btVkEQBFFewG/view?usp=drivesdk</t>
  </si>
  <si>
    <t>정인준</t>
  </si>
  <si>
    <t>injun2002@naver.com</t>
  </si>
  <si>
    <t>1SwLQfxD8kY6SVQHlEu9wJ_Nvqz2tHTLt</t>
  </si>
  <si>
    <t>https://drive.google.com/file/d/1SwLQfxD8kY6SVQHlEu9wJ_Nvqz2tHTLt/view?usp=drivesdk</t>
  </si>
  <si>
    <t>김동규</t>
  </si>
  <si>
    <t>Infp</t>
  </si>
  <si>
    <t>cjkimdg21@naver.com</t>
  </si>
  <si>
    <t>1ZDiqYq4W_asD-77RJGz-7e45SKP9vEL6</t>
  </si>
  <si>
    <t>https://drive.google.com/file/d/1ZDiqYq4W_asD-77RJGz-7e45SKP9vEL6/view?usp=drivesdk</t>
  </si>
  <si>
    <t>허재호</t>
  </si>
  <si>
    <t>gjwogh2311@naver.com</t>
  </si>
  <si>
    <t>1QlQm-tLNa2OQn93rEtrlJ_EgfxGiwVKy</t>
  </si>
  <si>
    <t>https://drive.google.com/file/d/1QlQm-tLNa2OQn93rEtrlJ_EgfxGiwVKy/view?usp=drivesdk</t>
  </si>
  <si>
    <t>송원범</t>
  </si>
  <si>
    <t>swb313@naver.com</t>
  </si>
  <si>
    <t>1RSxLCvHggLmOJsPStzLywW1ui68FmHbb</t>
  </si>
  <si>
    <t>https://drive.google.com/file/d/1RSxLCvHggLmOJsPStzLywW1ui68FmHbb/view?usp=drivesdk</t>
  </si>
  <si>
    <t>권우성</t>
  </si>
  <si>
    <t>gouoso@naver.com</t>
  </si>
  <si>
    <t>1a-qlfB9Q7RlxcM7hSpobaGjGsn6PfrfZ</t>
  </si>
  <si>
    <t>https://drive.google.com/file/d/1a-qlfB9Q7RlxcM7hSpobaGjGsn6PfrfZ/view?usp=drivesdk</t>
  </si>
  <si>
    <t>박시원</t>
  </si>
  <si>
    <t>c1020719@naver.com</t>
  </si>
  <si>
    <t>18plHW8TJH0KL2C7EegoM0CKBqbm57h3U</t>
  </si>
  <si>
    <t>https://drive.google.com/file/d/18plHW8TJH0KL2C7EegoM0CKBqbm57h3U/view?usp=drivesdk</t>
  </si>
  <si>
    <t>조민수</t>
  </si>
  <si>
    <t>swa07152@naver.com</t>
  </si>
  <si>
    <t>1NgENyf3kmRobCJ21gdkQlV70i6vQ1Gv6</t>
  </si>
  <si>
    <t>https://drive.google.com/file/d/1NgENyf3kmRobCJ21gdkQlV70i6vQ1Gv6/view?usp=drivesdk</t>
  </si>
  <si>
    <t>이규현</t>
  </si>
  <si>
    <t>zxcv94832224@gmail.com</t>
  </si>
  <si>
    <t>1_I49BfvTNOAgcvMjWx23FDMxdSaKHXmt</t>
  </si>
  <si>
    <t>https://drive.google.com/file/d/1_I49BfvTNOAgcvMjWx23FDMxdSaKHXmt/view?usp=drivesdk</t>
  </si>
  <si>
    <t>남민석</t>
  </si>
  <si>
    <t>fa929as2@naver.com</t>
  </si>
  <si>
    <t>1sa-UvBeqa_zLP3Lb4_lncmwoWeUg-z6R</t>
  </si>
  <si>
    <t>https://drive.google.com/file/d/1sa-UvBeqa_zLP3Lb4_lncmwoWeUg-z6R/view?usp=drivesdk</t>
  </si>
  <si>
    <t>Document successfully created; Document successfully merged; PDF created; Run via form trigger as jeongjinung4@gmail.com; Timestamp: Aug 13, 2026 8:44 PM</t>
  </si>
  <si>
    <t>김민규</t>
  </si>
  <si>
    <t>oys030525@naver.com</t>
  </si>
  <si>
    <t>1kHzlLmg9ji8WigoYHARLPTFiSUzjc7WG</t>
  </si>
  <si>
    <t>https://drive.google.com/file/d/1kHzlLmg9ji8WigoYHARLPTFiSUzjc7WG/view?usp=drivesdk</t>
  </si>
  <si>
    <t>윤민식</t>
  </si>
  <si>
    <t>96yunms@naver.com</t>
  </si>
  <si>
    <t>19s7mi7Duwz61AL4_YlI7HQqEZyN4SWUB</t>
  </si>
  <si>
    <t>https://drive.google.com/file/d/19s7mi7Duwz61AL4_YlI7HQqEZyN4SWUB/view?usp=drivesdk</t>
  </si>
  <si>
    <t>이영무</t>
  </si>
  <si>
    <t>ymsch1129@gmail.com</t>
  </si>
  <si>
    <t>1Iv062prGGweDPA08M1_YeVL8Ico0cGYm</t>
  </si>
  <si>
    <t>https://drive.google.com/file/d/1Iv062prGGweDPA08M1_YeVL8Ico0cGYm/view?usp=drivesdk</t>
  </si>
  <si>
    <t>임*빈</t>
  </si>
  <si>
    <t>limsubin153@naver.com</t>
  </si>
  <si>
    <t>1U6JqNzemODipYwsExBa97Rs7KZ3wgPcx</t>
  </si>
  <si>
    <t>https://drive.google.com/file/d/1U6JqNzemODipYwsExBa97Rs7KZ3wgPcx/view?usp=drivesdk</t>
  </si>
  <si>
    <t>김주영</t>
  </si>
  <si>
    <t>kimjuyoung1028@naver.com</t>
  </si>
  <si>
    <t>1T0x5Xn3xVEuqRDMANe2xL9Pqmg_x_vJY</t>
  </si>
  <si>
    <t>https://drive.google.com/file/d/1T0x5Xn3xVEuqRDMANe2xL9Pqmg_x_vJY/view?usp=drivesdk</t>
  </si>
  <si>
    <t>박정우</t>
  </si>
  <si>
    <t>wjddn7618@nate.com</t>
  </si>
  <si>
    <t>17DV1mmy9mIZKk2mU5aa6eJHZZPW2nkMz</t>
  </si>
  <si>
    <t>https://drive.google.com/file/d/17DV1mmy9mIZKk2mU5aa6eJHZZPW2nkMz/view?usp=drivesdk</t>
  </si>
  <si>
    <t>김기현</t>
  </si>
  <si>
    <t>kimkihyun212@gmail.com</t>
  </si>
  <si>
    <t>13vEkJWzcF9XnjtZEvl24qSgR_24rQ2Vz</t>
  </si>
  <si>
    <t>https://drive.google.com/file/d/13vEkJWzcF9XnjtZEvl24qSgR_24rQ2Vz/view?usp=drivesdk</t>
  </si>
  <si>
    <t>이수연</t>
  </si>
  <si>
    <t>suyeon190530@naver.com</t>
  </si>
  <si>
    <t>1zG9ZS5Mave37UX7vUAppeVJ3sx2mRGEf</t>
  </si>
  <si>
    <t>https://drive.google.com/file/d/1zG9ZS5Mave37UX7vUAppeVJ3sx2mRGEf/view?usp=drivesdk</t>
  </si>
  <si>
    <t>규규</t>
  </si>
  <si>
    <t>leopardi2003@naver.com</t>
  </si>
  <si>
    <t>1e5cMlLhc4EuLtaUT3piF4gdAAPwFf4cs</t>
  </si>
  <si>
    <t>https://drive.google.com/file/d/1e5cMlLhc4EuLtaUT3piF4gdAAPwFf4cs/view?usp=drivesdk</t>
  </si>
  <si>
    <t>송예건</t>
  </si>
  <si>
    <t>blackcow9271@gmail.com</t>
  </si>
  <si>
    <t>1h2dU-tsmwA3ShsvapDQceMRpTAh2jrAd</t>
  </si>
  <si>
    <t>https://drive.google.com/file/d/1h2dU-tsmwA3ShsvapDQceMRpTAh2jrAd/view?usp=drivesdk</t>
  </si>
  <si>
    <t>김현지</t>
  </si>
  <si>
    <t>hyunjee915@gmail.com</t>
  </si>
  <si>
    <t>1LOA5Ro0DkYjabz8hWrwdH3oZ71b_OqNH</t>
  </si>
  <si>
    <t>https://drive.google.com/file/d/1LOA5Ro0DkYjabz8hWrwdH3oZ71b_OqNH/view?usp=drivesdk</t>
  </si>
  <si>
    <t>권영재</t>
  </si>
  <si>
    <t>kwon4451@naver.com</t>
  </si>
  <si>
    <t>1YOrpBQNDOeioE14__R1sjDlQYhcnZ7sT</t>
  </si>
  <si>
    <t>https://drive.google.com/file/d/1YOrpBQNDOeioE14__R1sjDlQYhcnZ7sT/view?usp=drivesdk</t>
  </si>
  <si>
    <t>손희원</t>
  </si>
  <si>
    <t>shw94268094@gmail.com</t>
  </si>
  <si>
    <t>1IM_WRIG0h5IOVIINZd73VsPKdnWvEnLU</t>
  </si>
  <si>
    <t>https://drive.google.com/file/d/1IM_WRIG0h5IOVIINZd73VsPKdnWvEnLU/view?usp=drivesdk</t>
  </si>
  <si>
    <t>Document successfully created; Document successfully merged; PDF created; Run via form trigger as jeongjinung4@gmail.com; Timestamp: Aug 13, 2026 8:45 PM</t>
  </si>
  <si>
    <t>박성수</t>
  </si>
  <si>
    <t>andcl524@naver.com</t>
  </si>
  <si>
    <t>1U5JeJKpDpYsJArA_UBj9x8LzdSe2ZqgW</t>
  </si>
  <si>
    <t>https://drive.google.com/file/d/1U5JeJKpDpYsJArA_UBj9x8LzdSe2ZqgW/view?usp=drivesdk</t>
  </si>
  <si>
    <t>쏘가리</t>
  </si>
  <si>
    <t>starsky031209@naver.com</t>
  </si>
  <si>
    <t>1bgJ5CtVF0VY7APCpWZkb-XBBBW6tpA_C</t>
  </si>
  <si>
    <t>https://drive.google.com/file/d/1bgJ5CtVF0VY7APCpWZkb-XBBBW6tpA_C/view?usp=drivesdk</t>
  </si>
  <si>
    <t>신수호</t>
  </si>
  <si>
    <t>suhosin0515@naver.com</t>
  </si>
  <si>
    <t>1rnCzVMVA-58IiojmB5xm97LieqvfdmH4</t>
  </si>
  <si>
    <t>https://drive.google.com/file/d/1rnCzVMVA-58IiojmB5xm97LieqvfdmH4/view?usp=drivesdk</t>
  </si>
  <si>
    <t>Document successfully created; Document successfully merged; PDF created; Run via form trigger as jeongjinung4@gmail.com; Timestamp: Aug 13, 2026 8:46 PM</t>
  </si>
  <si>
    <t>류지원</t>
  </si>
  <si>
    <t>leoryoo@naver.com</t>
  </si>
  <si>
    <t>1O21_wMF9bgKcJRyqaS-gQmFLWABVm02n</t>
  </si>
  <si>
    <t>https://drive.google.com/file/d/1O21_wMF9bgKcJRyqaS-gQmFLWABVm02n/view?usp=drivesdk</t>
  </si>
  <si>
    <t>심유현</t>
  </si>
  <si>
    <t>syhyun0312@naver.com</t>
  </si>
  <si>
    <t>1KhbVRK7dX2oQzPDmqve-Y-D-mxf_zdkQ</t>
  </si>
  <si>
    <t>https://drive.google.com/file/d/1KhbVRK7dX2oQzPDmqve-Y-D-mxf_zdkQ/view?usp=drivesdk</t>
  </si>
  <si>
    <t>데시벨</t>
  </si>
  <si>
    <t>estp</t>
  </si>
  <si>
    <t>neymarr11@naver.com</t>
  </si>
  <si>
    <t>1okZROikKJa9NlTIcaWbXi_Tmyr8fQvZA</t>
  </si>
  <si>
    <t>https://drive.google.com/file/d/1okZROikKJa9NlTIcaWbXi_Tmyr8fQvZA/view?usp=drivesdk</t>
  </si>
  <si>
    <t>임경수</t>
  </si>
  <si>
    <t>ksoo1397@gmail.com</t>
  </si>
  <si>
    <t>1zi12ungjPdVEQjpWhefbJm1q3UGKCXkR</t>
  </si>
  <si>
    <t>https://drive.google.com/file/d/1zi12ungjPdVEQjpWhefbJm1q3UGKCXkR/view?usp=drivesdk</t>
  </si>
  <si>
    <t>김홍기</t>
  </si>
  <si>
    <t>istj</t>
  </si>
  <si>
    <t>moo70085@gmail.com</t>
  </si>
  <si>
    <t>1CeVO9lT26dsl6j62O-nWMIhNymdj4EM1</t>
  </si>
  <si>
    <t>https://drive.google.com/file/d/1CeVO9lT26dsl6j62O-nWMIhNymdj4EM1/view?usp=drivesdk</t>
  </si>
  <si>
    <t>Document successfully created; Document successfully merged; PDF created; Run via form trigger as jeongjinung4@gmail.com; Timestamp: Aug 13, 2026 8:47 PM</t>
  </si>
  <si>
    <t>유광현</t>
  </si>
  <si>
    <t>ssss2010@naver.com</t>
  </si>
  <si>
    <t>1zmlz2UO0S07Apz_jPcDt5uht1KlIiJfT</t>
  </si>
  <si>
    <t>https://drive.google.com/file/d/1zmlz2UO0S07Apz_jPcDt5uht1KlIiJfT/view?usp=drivesdk</t>
  </si>
  <si>
    <t>도현준</t>
  </si>
  <si>
    <t>해본적 없음</t>
  </si>
  <si>
    <t>dhj2188@naver.com</t>
  </si>
  <si>
    <t>1vO_BtKLFP4glmTDJhWqGm4RMgKZHYbFB</t>
  </si>
  <si>
    <t>https://drive.google.com/file/d/1vO_BtKLFP4glmTDJhWqGm4RMgKZHYbFB/view?usp=drivesdk</t>
  </si>
  <si>
    <t>중위 김이삭</t>
  </si>
  <si>
    <t>showme2589@naver.com</t>
  </si>
  <si>
    <t>1k1O72Mhg8U0RWxg8ygrKOtDdVBSEUoWr</t>
  </si>
  <si>
    <t>https://drive.google.com/file/d/1k1O72Mhg8U0RWxg8ygrKOtDdVBSEUoWr/view?usp=drivesdk</t>
  </si>
  <si>
    <t>Document successfully created; Document successfully merged; PDF created; Run via form trigger as jeongjinung4@gmail.com; Timestamp: Aug 13, 2026 8:48 PM</t>
  </si>
  <si>
    <t>나0리</t>
  </si>
  <si>
    <t>0hyeri713@naver.com</t>
  </si>
  <si>
    <t>1c3bGLFbsDzRziYIzKSuhIvs4GY0lUWFT</t>
  </si>
  <si>
    <t>https://drive.google.com/file/d/1c3bGLFbsDzRziYIzKSuhIvs4GY0lUWFT/view?usp=drivesdk</t>
  </si>
  <si>
    <t>Document successfully created; Document successfully merged; PDF created; Run via form trigger as jeongjinung4@gmail.com; Timestamp: Aug 13, 2026 8:49 PM</t>
  </si>
  <si>
    <t>송지환</t>
  </si>
  <si>
    <t>skacc@naver.com</t>
  </si>
  <si>
    <t>1B9g60_qBq1kKdjVEUr_EbuRXyC1G1ptK</t>
  </si>
  <si>
    <t>https://drive.google.com/file/d/1B9g60_qBq1kKdjVEUr_EbuRXyC1G1ptK/view?usp=drivesdk</t>
  </si>
  <si>
    <t>염태균</t>
  </si>
  <si>
    <t>taegyun211@naver.com</t>
  </si>
  <si>
    <t>1l7h8GxH8FxHUSFyZ2HnHf5VWapvKSnFU</t>
  </si>
  <si>
    <t>https://drive.google.com/file/d/1l7h8GxH8FxHUSFyZ2HnHf5VWapvKSnFU/view?usp=drivesdk</t>
  </si>
  <si>
    <t>Document successfully created; Document successfully merged; PDF created; Run via form trigger as jeongjinung4@gmail.com; Timestamp: Aug 13, 2026 8:50 PM</t>
  </si>
  <si>
    <t>박수훈</t>
  </si>
  <si>
    <t>qkrtngns0826@naver.com</t>
  </si>
  <si>
    <t>1fpVXc84wDvcGvpXhaDDYqGNDNNOCO7LB</t>
  </si>
  <si>
    <t>https://drive.google.com/file/d/1fpVXc84wDvcGvpXhaDDYqGNDNNOCO7LB/view?usp=drivesdk</t>
  </si>
  <si>
    <t>송민지</t>
  </si>
  <si>
    <t>alswl6541@naver.com</t>
  </si>
  <si>
    <t>1XbWZA1RbgCnIyXuyavCCADbkJjLutlwX</t>
  </si>
  <si>
    <t>https://drive.google.com/file/d/1XbWZA1RbgCnIyXuyavCCADbkJjLutlwX/view?usp=drivesdk</t>
  </si>
  <si>
    <t>한희원</t>
  </si>
  <si>
    <t>0627won@naver.com</t>
  </si>
  <si>
    <t>1z9ys61YkZLmCfkgOCkZX5Vnv2coqpLHn</t>
  </si>
  <si>
    <t>https://drive.google.com/file/d/1z9ys61YkZLmCfkgOCkZX5Vnv2coqpLHn/view?usp=drivesdk</t>
  </si>
  <si>
    <t>Document successfully created; Document successfully merged; PDF created; Manually run by jeongjinung4@gmail.com; Timestamp: Aug 13, 2026 11:32 PM</t>
  </si>
  <si>
    <t>이윤주</t>
  </si>
  <si>
    <t>ISFJ</t>
  </si>
  <si>
    <t>aba3377@naver.com</t>
  </si>
  <si>
    <t>1sLXi4Emb62BqZxVV7-85I5cXMzzFtEHZ</t>
  </si>
  <si>
    <t>https://drive.google.com/file/d/1sLXi4Emb62BqZxVV7-85I5cXMzzFtEHZ/view?usp=drivesdk</t>
  </si>
  <si>
    <t>Document successfully created; Document successfully merged; PDF created; Run via form trigger as jeongjinung4@gmail.com; Timestamp: Aug 13, 2026 9:03 PM</t>
  </si>
  <si>
    <t>허성원</t>
  </si>
  <si>
    <t>hurcci1821@naver.com</t>
  </si>
  <si>
    <t>1QrpeyKB9ZvOvkW658jxe0FZaT1j2F5rh</t>
  </si>
  <si>
    <t>https://drive.google.com/file/d/1QrpeyKB9ZvOvkW658jxe0FZaT1j2F5rh/view?usp=drivesdk</t>
  </si>
  <si>
    <t>Document successfully created; Document successfully merged; PDF created; Run via form trigger as jeongjinung4@gmail.com; Timestamp: Aug 13, 2026 9:06 PM</t>
  </si>
  <si>
    <t>김태호</t>
  </si>
  <si>
    <t>endxh1121@naver.com</t>
  </si>
  <si>
    <t>17WCn0GQVJeGRipeuYhJISBNe8A0-VZTV</t>
  </si>
  <si>
    <t>https://drive.google.com/file/d/17WCn0GQVJeGRipeuYhJISBNe8A0-VZTV/view?usp=drivesdk</t>
  </si>
  <si>
    <t>Document successfully created; Document successfully merged; PDF created; Run via form trigger as jeongjinung4@gmail.com; Timestamp: Aug 13, 2026 9:08 PM</t>
  </si>
  <si>
    <t>정진우</t>
  </si>
  <si>
    <t>sky200303@gmail.com</t>
  </si>
  <si>
    <t>1zVxrLMfBxalMNLhXqMQuhi9lJQRRtYFI</t>
  </si>
  <si>
    <t>https://drive.google.com/file/d/1zVxrLMfBxalMNLhXqMQuhi9lJQRRtYFI/view?usp=drivesdk</t>
  </si>
  <si>
    <t>Document successfully created; Document successfully merged; PDF created; Run via form trigger as jeongjinung4@gmail.com; Timestamp: Aug 13, 2026 9:09 PM</t>
  </si>
  <si>
    <t>ㅇㅇ</t>
  </si>
  <si>
    <t>ㅇ</t>
  </si>
  <si>
    <t>dddooo1320@gmail.com</t>
  </si>
  <si>
    <t>1w6uw4poVMwo7oiqY6UAE729t17DFA6eB</t>
  </si>
  <si>
    <t>https://drive.google.com/file/d/1w6uw4poVMwo7oiqY6UAE729t17DFA6eB/view?usp=drivesdk</t>
  </si>
  <si>
    <t>Document successfully created; Document successfully merged; PDF created; Run via form trigger as jeongjinung4@gmail.com; Timestamp: Aug 13, 2026 9:30 PM</t>
  </si>
  <si>
    <t>ㅇㅇㅇㅇ</t>
  </si>
  <si>
    <t>14iJojeCeuJ7Sn-ISDMR6c44l3Iz6A0e-</t>
  </si>
  <si>
    <t>https://drive.google.com/file/d/14iJojeCeuJ7Sn-ISDMR6c44l3Iz6A0e-/view?usp=drivesdk</t>
  </si>
  <si>
    <t>80 상병 황우진</t>
  </si>
  <si>
    <t>1D2Vd026hjrVfzcKNUWY0HJA35w7I9TUA</t>
  </si>
  <si>
    <t>https://drive.google.com/file/d/1D2Vd026hjrVfzcKNUWY0HJA35w7I9TUA/view?usp=drivesdk</t>
  </si>
  <si>
    <t>Document successfully created; Document successfully merged; PDF created; Run via form trigger as jeongjinung4@gmail.com; Timestamp: Aug 13, 2026 11:54 PM</t>
  </si>
  <si>
    <t>초토</t>
  </si>
  <si>
    <t>1fOuH1hm4yHUxk_suXS4iARsNujz2jRhD</t>
  </si>
  <si>
    <t>https://drive.google.com/file/d/1fOuH1hm4yHUxk_suXS4iARsNujz2jRhD/view?usp=drivesdk</t>
  </si>
  <si>
    <t>Document successfully created; Document successfully merged; PDF created; Run via form trigger as jeongjinung4@gmail.com; Timestamp: Aug 13, 2026 11:55 PM</t>
  </si>
  <si>
    <t>배종연</t>
  </si>
  <si>
    <t>qowhddus56@naver.com</t>
  </si>
  <si>
    <t>1l1Zdjs_CVCgPfHlGE2GloCchloUteciF</t>
  </si>
  <si>
    <t>https://drive.google.com/file/d/1l1Zdjs_CVCgPfHlGE2GloCchloUteciF/view?usp=drivesdk</t>
  </si>
  <si>
    <t>Document successfully created; Document successfully merged; PDF created; Run via form trigger as jeongjinung4@gmail.com; Timestamp: Aug 14, 2026 4:16 AM</t>
  </si>
  <si>
    <t>ㅁㅜㄴ</t>
  </si>
  <si>
    <t>dragonbibi@naver.com</t>
  </si>
  <si>
    <t>1NGGrKKrPps9lZuQROANVdnFiU4NIfYqM</t>
  </si>
  <si>
    <t>https://drive.google.com/file/d/1NGGrKKrPps9lZuQROANVdnFiU4NIfYqM/view?usp=drivesdk</t>
  </si>
  <si>
    <t>Document successfully created; Document successfully merged; PDF created; Run via form trigger as jeongjinung4@gmail.com; Timestamp: Aug 14, 2026 8:46 AM</t>
  </si>
  <si>
    <t>김건형</t>
  </si>
  <si>
    <t>kingzzangku@naver.com</t>
  </si>
  <si>
    <t>1GiUvbhClWHXKZxKchCklUckqAiD1C2__</t>
  </si>
  <si>
    <t>https://drive.google.com/file/d/1GiUvbhClWHXKZxKchCklUckqAiD1C2__/view?usp=drivesdk</t>
  </si>
  <si>
    <t>Document successfully created; Document successfully merged; PDF created; Run via form trigger as jeongjinung4@gmail.com; Timestamp: Aug 14, 2026 9:25 AM</t>
  </si>
  <si>
    <t>최다윤</t>
  </si>
  <si>
    <t>27년</t>
  </si>
  <si>
    <t>dayoon3044@gmail.com</t>
  </si>
  <si>
    <t>1chlEt1xdlLYFfBRb4fbGu3SVVAt1lHsP</t>
  </si>
  <si>
    <t>https://drive.google.com/file/d/1chlEt1xdlLYFfBRb4fbGu3SVVAt1lHsP/view?usp=drivesdk</t>
  </si>
  <si>
    <t>Document successfully created; Document successfully merged; PDF created; Run via form trigger as jeongjinung4@gmail.com; Timestamp: Aug 15, 2026 4:14 AM</t>
  </si>
  <si>
    <t>Entj</t>
  </si>
  <si>
    <t>178gqxuhYs8KeJ2WT-Y4BEWvV7CX_ZttK</t>
  </si>
  <si>
    <t>https://drive.google.com/file/d/178gqxuhYs8KeJ2WT-Y4BEWvV7CX_ZttK/view?usp=drivesdk</t>
  </si>
  <si>
    <t>Document successfully created; Document successfully merged; PDF created; Run via form trigger as jeongjinung4@gmail.com; Timestamp: Aug 18, 2026 1:09 AM</t>
  </si>
  <si>
    <t>김규훈</t>
  </si>
  <si>
    <t>12037xr9l32oPzxjtGgSnrCxl-EvBFijA</t>
  </si>
  <si>
    <t>https://drive.google.com/file/d/12037xr9l32oPzxjtGgSnrCxl-EvBFijA/view?usp=drivesdk</t>
  </si>
  <si>
    <t>Document successfully created; Document successfully merged; PDF created; Run via form trigger as jeongjinung4@gmail.com; Timestamp: Aug 18, 2026 1:35 AM</t>
  </si>
  <si>
    <t>1KPNKrQkXY4Tg_yIcXboX0PoHvUYQ6EAy</t>
  </si>
  <si>
    <t>https://drive.google.com/file/d/1KPNKrQkXY4Tg_yIcXboX0PoHvUYQ6EAy/view?usp=drivesdk</t>
  </si>
  <si>
    <t>함윤성</t>
  </si>
  <si>
    <t>hamys020606@gmail.com</t>
  </si>
  <si>
    <t>1I6lJeXlxrih1_AfvG1v0ySaWfK7fl2XA</t>
  </si>
  <si>
    <t>https://drive.google.com/file/d/1I6lJeXlxrih1_AfvG1v0ySaWfK7fl2XA/view?usp=drivesdk</t>
  </si>
  <si>
    <t>Document successfully created; Document successfully merged; PDF created; Run via form trigger as jeongjinung4@gmail.com; Timestamp: Aug 19, 2026 9:00 PM</t>
  </si>
  <si>
    <t>1QwjLwZipM3007yrrixSlOLLIGX3OQF7P</t>
  </si>
  <si>
    <t>https://drive.google.com/file/d/1QwjLwZipM3007yrrixSlOLLIGX3OQF7P/view?usp=drivesdk</t>
  </si>
  <si>
    <t>Document successfully created; Document successfully merged; PDF created; Run via form trigger as jeongjinung4@gmail.com; Timestamp: Aug 20, 2026 12:12 AM</t>
  </si>
  <si>
    <t>1T_t7MeU1oMIm0tUIEldectxAXP8R-pR3</t>
  </si>
  <si>
    <t>https://drive.google.com/file/d/1T_t7MeU1oMIm0tUIEldectxAXP8R-pR3/view?usp=drivesdk</t>
  </si>
  <si>
    <t>1pCfrGgci6ssi-QUUilIamnIwznMwWLfT</t>
  </si>
  <si>
    <t>https://drive.google.com/file/d/1pCfrGgci6ssi-QUUilIamnIwznMwWLfT/view?usp=drivesdk</t>
  </si>
  <si>
    <t>Document successfully created; Document successfully merged; PDF created; Run via form trigger as jeongjinung4@gmail.com; Timestamp: Aug 20, 2026 12:13 AM</t>
  </si>
  <si>
    <t>윤용선</t>
  </si>
  <si>
    <t>skyblue3v@naver.com</t>
  </si>
  <si>
    <t>1qzLj1H08vpkXGlf8LI-ywYzptEfPDrti</t>
  </si>
  <si>
    <t>https://drive.google.com/file/d/1qzLj1H08vpkXGlf8LI-ywYzptEfPDrti/view?usp=drivesdk</t>
  </si>
  <si>
    <t>Document successfully created; Document successfully merged; PDF created; Run via form trigger as jeongjinung4@gmail.com; Timestamp: Aug 20, 2026 12:22 AM</t>
  </si>
  <si>
    <t>박성웅</t>
  </si>
  <si>
    <t>p2724091@hanmail.net</t>
  </si>
  <si>
    <t>19aemKnWmFgMPaODFlmuNnIQDN5RWSkaq</t>
  </si>
  <si>
    <t>https://drive.google.com/file/d/19aemKnWmFgMPaODFlmuNnIQDN5RWSkaq/view?usp=drivesdk</t>
  </si>
  <si>
    <t>Document successfully created; Document successfully merged; PDF created; Run via form trigger as jeongjinung4@gmail.com; Timestamp: Aug 24, 2026 8:14 PM</t>
  </si>
  <si>
    <t>우노</t>
  </si>
  <si>
    <t>jowoonho145@naver.com</t>
  </si>
  <si>
    <t>1kAXMeMDTxOWT6GVms3Imw7ntnSEGCPej</t>
  </si>
  <si>
    <t>https://drive.google.com/file/d/1kAXMeMDTxOWT6GVms3Imw7ntnSEGCPej/view?usp=drivesdk</t>
  </si>
  <si>
    <t>Document successfully created; Document successfully merged; PDF created; Run via form trigger as jeongjinung4@gmail.com; Timestamp: Aug 25, 2026 12:08 AM</t>
  </si>
  <si>
    <t>18sw6S2YUfXGcHqdkXyjtQweHelVj_MZr</t>
  </si>
  <si>
    <t>https://drive.google.com/file/d/18sw6S2YUfXGcHqdkXyjtQweHelVj_MZr/view?usp=drivesdk</t>
  </si>
  <si>
    <t>Document successfully created; Document successfully merged; PDF created; Run via form trigger as jeongjinung4@gmail.com; Timestamp: Aug 25, 2026 1:59 AM</t>
  </si>
  <si>
    <t>1dWbyOdUtmn8GwiFhbr2mEZIIuVUFM0oy</t>
  </si>
  <si>
    <t>https://drive.google.com/file/d/1dWbyOdUtmn8GwiFhbr2mEZIIuVUFM0oy/view?usp=drivesdk</t>
  </si>
  <si>
    <t>테스트_10</t>
  </si>
  <si>
    <t>dddd</t>
  </si>
  <si>
    <t>1wlAeN1QFkD1AJvGo_1JCEAdTnLAluCIC</t>
  </si>
  <si>
    <t>https://drive.google.com/file/d/1wlAeN1QFkD1AJvGo_1JCEAdTnLAluCIC/view?usp=drivesdk</t>
  </si>
  <si>
    <t>Document successfully created; Document successfully merged; PDF created; Run via form trigger as jeongjinung4@gmail.com; Timestamp: Aug 25, 2026 2:06 AM</t>
  </si>
  <si>
    <t>13l8_fPmFSz3DedsRouOQ9r_0Tm4atuB5</t>
  </si>
  <si>
    <t>https://drive.google.com/file/d/13l8_fPmFSz3DedsRouOQ9r_0Tm4atuB5/view?usp=drivesdk</t>
  </si>
  <si>
    <t>Document successfully created; Document successfully merged; PDF created; Run via form trigger as jeongjinung4@gmail.com; Timestamp: Aug 25, 2026 8:18 PM</t>
  </si>
  <si>
    <t>test_1</t>
  </si>
  <si>
    <t>intj</t>
  </si>
  <si>
    <t>1v0beUArZ1565TJ8ima9bevRQoJziAlL0</t>
  </si>
  <si>
    <t>https://drive.google.com/file/d/1v0beUArZ1565TJ8ima9bevRQoJziAlL0/view?usp=drivesdk</t>
  </si>
  <si>
    <t>Document successfully created; Document successfully merged; PDF created; Run via form trigger as jeongjinung4@gmail.com; Timestamp: Aug 26, 2026 12:13 AM</t>
  </si>
  <si>
    <t>오류</t>
  </si>
  <si>
    <t>No item with the given ID could be found. Possibly because you have not edited this item or you do not have permission to access it.</t>
  </si>
  <si>
    <t>박재서</t>
  </si>
  <si>
    <t>26-11498@army.mil</t>
  </si>
  <si>
    <t>1gjrbtbvkwOvtQDj6Kci5QsJfNbyciMBn</t>
  </si>
  <si>
    <t>https://drive.google.com/file/d/1gjrbtbvkwOvtQDj6Kci5QsJfNbyciMBn/view?usp=drivesdk</t>
  </si>
  <si>
    <t>Document successfully created; Document successfully merged; PDF created; Run via form trigger as jeongjinung4@gmail.com; Timestamp: Aug 26, 2026 12:18 AM</t>
  </si>
  <si>
    <t>빠크재서</t>
  </si>
  <si>
    <t>ohhola0314@naver.com</t>
  </si>
  <si>
    <t>안지민</t>
  </si>
  <si>
    <t>styuq@naver.com</t>
  </si>
  <si>
    <t>test_2</t>
  </si>
  <si>
    <t>1Igr4kwCGLungR8RpWDmvf3cpqBhB4sa-</t>
  </si>
  <si>
    <t>https://drive.google.com/file/d/1Igr4kwCGLungR8RpWDmvf3cpqBhB4sa-/view?usp=drivesdk</t>
  </si>
  <si>
    <t>BREVO_API_KEY 스크립트 속성이 없습니다.</t>
  </si>
  <si>
    <t>오은지</t>
  </si>
  <si>
    <t>2unji0518@army.mil</t>
  </si>
  <si>
    <t>12u8YhEvkdtaveB3ylzzucyjcSHx0NJqj</t>
  </si>
  <si>
    <t>https://drive.google.com/file/d/12u8YhEvkdtaveB3ylzzucyjcSHx0NJqj/view?usp=drivesdk</t>
  </si>
  <si>
    <t>1wJ7fn2fT4TIj3Cr-i34PwQcwkZTnl_W7</t>
  </si>
  <si>
    <t>https://drive.google.com/file/d/1wJ7fn2fT4TIj3Cr-i34PwQcwkZTnl_W7/view?usp=drivesdk</t>
  </si>
  <si>
    <t>&lt;202609070013.26560762797@smtp-relay.mailin.fr&gt;</t>
  </si>
  <si>
    <t>test_3</t>
  </si>
  <si>
    <t>발송완료</t>
  </si>
  <si>
    <t>12Z11t0L56pOE8xceimmiLpu3SbdfO0wd</t>
  </si>
  <si>
    <t>https://drive.google.com/file/d/12Z11t0L56pOE8xceimmiLpu3SbdfO0wd/view?usp=drivesdk</t>
  </si>
  <si>
    <t>&lt;202608260436.29011266973@smtp-relay.mailin.fr&gt;</t>
  </si>
  <si>
    <t>test_5</t>
  </si>
  <si>
    <t>1ysp_fBFl-tFuIvAm6fYoIHqCn_vuF32V</t>
  </si>
  <si>
    <t>https://drive.google.com/file/d/1ysp_fBFl-tFuIvAm6fYoIHqCn_vuF32V/view?usp=drivesdk</t>
  </si>
  <si>
    <t>&lt;202608260442.33073069734@smtp-relay.mailin.fr&gt;</t>
  </si>
  <si>
    <t>1dLQesqx6Z4EUFK3zCYKiwSETHr6n2HeY</t>
  </si>
  <si>
    <t>https://drive.google.com/file/d/1dLQesqx6Z4EUFK3zCYKiwSETHr6n2HeY/view?usp=drivesdk</t>
  </si>
  <si>
    <t>&lt;202608260445.57464163464@smtp-relay.mailin.fr&gt;</t>
  </si>
  <si>
    <t>1muyUyNcWvvc02N0xKeswDncJGwjwZL6X</t>
  </si>
  <si>
    <t>https://drive.google.com/file/d/1muyUyNcWvvc02N0xKeswDncJGwjwZL6X/view?usp=drivesdk</t>
  </si>
  <si>
    <t>&lt;202608260445.45296729922@smtp-relay.mailin.fr&gt;</t>
  </si>
  <si>
    <t>test_10</t>
  </si>
  <si>
    <t>1UAdxcNKDoqdvyQ_48JcLEIjo50ZchHDv</t>
  </si>
  <si>
    <t>https://drive.google.com/file/d/1UAdxcNKDoqdvyQ_48JcLEIjo50ZchHDv/view?usp=drivesdk</t>
  </si>
  <si>
    <t>&lt;202608260459.47485107153@smtp-relay.mailin.fr&gt;</t>
  </si>
  <si>
    <t>김건현</t>
  </si>
  <si>
    <t>dpdjqpsej@naver.com</t>
  </si>
  <si>
    <t>1GjPOBJ2BWLjpx5bUGY4CzzXhme0dQVVA</t>
  </si>
  <si>
    <t>https://drive.google.com/file/d/1GjPOBJ2BWLjpx5bUGY4CzzXhme0dQVVA/view?usp=drivesdk</t>
  </si>
  <si>
    <t>&lt;202608260503.69015413132@smtp-relay.mailin.fr&gt;</t>
  </si>
  <si>
    <t>강민혁</t>
  </si>
  <si>
    <t>26-10764@army.mil</t>
  </si>
  <si>
    <t>1XMQRYyH4ALDSYdqWlVDTRjuw_aGqj96-</t>
  </si>
  <si>
    <t>https://drive.google.com/file/d/1XMQRYyH4ALDSYdqWlVDTRjuw_aGqj96-/view?usp=drivesdk</t>
  </si>
  <si>
    <t>&lt;202608260507.25918699831@smtp-relay.mailin.fr&gt;</t>
  </si>
  <si>
    <t>test_11</t>
  </si>
  <si>
    <t>1CPMoD8uPCOOePAzGA_vhYvmIJ0FGRL0J</t>
  </si>
  <si>
    <t>https://drive.google.com/file/d/1CPMoD8uPCOOePAzGA_vhYvmIJ0FGRL0J/view?usp=drivesdk</t>
  </si>
  <si>
    <t>&lt;202608260510.16721620447@smtp-relay.mailin.fr&gt;</t>
  </si>
  <si>
    <t>15Ksj0RtW6ZKWvNQdWsvdPBCf9FLBtYdz</t>
  </si>
  <si>
    <t>https://drive.google.com/file/d/15Ksj0RtW6ZKWvNQdWsvdPBCf9FLBtYdz/view?usp=drivesdk</t>
  </si>
  <si>
    <t>&lt;202608260520.46703205052@smtp-relay.mailin.fr&gt;</t>
  </si>
  <si>
    <t>pjspis0518@naver.com</t>
  </si>
  <si>
    <t>1oGCqCOsfckCcUFfc6UnEyz-HWm3PWyGE</t>
  </si>
  <si>
    <t>https://drive.google.com/file/d/1oGCqCOsfckCcUFfc6UnEyz-HWm3PWyGE/view?usp=drivesdk</t>
  </si>
  <si>
    <t>&lt;202608260540.85046239705@smtp-relay.mailin.fr&gt;</t>
  </si>
  <si>
    <t>박상욱</t>
  </si>
  <si>
    <t>ENTP</t>
  </si>
  <si>
    <t>jdey12@seoultech.ac.kr</t>
  </si>
  <si>
    <t>1xTHL2Fnfm5ml_9bLFfUFYw6EhHJ9Nwuv</t>
  </si>
  <si>
    <t>https://drive.google.com/file/d/1xTHL2Fnfm5ml_9bLFfUFYw6EhHJ9Nwuv/view?usp=drivesdk</t>
  </si>
  <si>
    <t>&lt;202608260653.64328331722@smtp-relay.mailin.fr&gt;</t>
  </si>
  <si>
    <t>허준명</t>
  </si>
  <si>
    <t>chris01px2022@gmail.com</t>
  </si>
  <si>
    <t>1d0tPcGSkxL2uGxz56T5Ur6kFvzudk7VT</t>
  </si>
  <si>
    <t>https://drive.google.com/file/d/1d0tPcGSkxL2uGxz56T5Ur6kFvzudk7VT/view?usp=drivesdk</t>
  </si>
  <si>
    <t>&lt;202608260730.46997287689@smtp-relay.mailin.fr&gt;</t>
  </si>
  <si>
    <t>2unji0518@naver.com</t>
  </si>
  <si>
    <t>1M70taQbwNNViE733IUK7_yFp2W4Cast6</t>
  </si>
  <si>
    <t>https://drive.google.com/file/d/1M70taQbwNNViE733IUK7_yFp2W4Cast6/view?usp=drivesdk</t>
  </si>
  <si>
    <t>&lt;202608260810.75138028990@smtp-relay.mailin.fr&gt;</t>
  </si>
  <si>
    <t>하태윤</t>
  </si>
  <si>
    <t>taeyoon815@gmail.com</t>
  </si>
  <si>
    <t>1tsRpol_TEjQDk2MKlE_o4ojEhD_3DrNY</t>
  </si>
  <si>
    <t>https://drive.google.com/file/d/1tsRpol_TEjQDk2MKlE_o4ojEhD_3DrNY/view?usp=drivesdk</t>
  </si>
  <si>
    <t>&lt;202608260821.79089788771@smtp-relay.mailin.fr&gt;</t>
  </si>
  <si>
    <t>유지동</t>
  </si>
  <si>
    <t>ITBJ</t>
  </si>
  <si>
    <t>roujimin@hanmail.net</t>
  </si>
  <si>
    <t>1BZSMQ8goar2DsjdwH2bn-rJ6V1Vdhuv7</t>
  </si>
  <si>
    <t>https://drive.google.com/file/d/1BZSMQ8goar2DsjdwH2bn-rJ6V1Vdhuv7/view?usp=drivesdk</t>
  </si>
  <si>
    <t>&lt;202608260956.20299151286@smtp-relay.mailin.fr&gt;</t>
  </si>
  <si>
    <t>EFPJ</t>
  </si>
  <si>
    <t>roujimin0103@daum.net</t>
  </si>
  <si>
    <t>1__o9r8V0tb8OSTD0FJCHa0o_OA5X1xu6</t>
  </si>
  <si>
    <t>https://drive.google.com/file/d/1__o9r8V0tb8OSTD0FJCHa0o_OA5X1xu6/view?usp=drivesdk</t>
  </si>
  <si>
    <t>&lt;202608261010.26386083535@smtp-relay.mailin.fr&gt;</t>
  </si>
  <si>
    <t>mhkang0908@naver.com</t>
  </si>
  <si>
    <t>13WfPrypZCICBYT8GRNX2bRVyFS-yLS0l</t>
  </si>
  <si>
    <t>https://drive.google.com/file/d/13WfPrypZCICBYT8GRNX2bRVyFS-yLS0l/view?usp=drivesdk</t>
  </si>
  <si>
    <t>&lt;202608270554.54587858538@smtp-relay.mailin.fr&gt;</t>
  </si>
  <si>
    <t>정구민</t>
  </si>
  <si>
    <t>1sFKGHX5TD-uVjEF8TEB83tdI3cN0UpIz</t>
  </si>
  <si>
    <t>https://drive.google.com/file/d/1sFKGHX5TD-uVjEF8TEB83tdI3cN0UpIz/view?usp=drivesdk</t>
  </si>
  <si>
    <t>&lt;202608270556.54939519968@smtp-relay.mailin.fr&gt;</t>
  </si>
  <si>
    <t>호랑이</t>
  </si>
  <si>
    <t>tigrrr@gmail.com</t>
  </si>
  <si>
    <t>1-zhfkE0KXuT3Gc9tqux7r5bNklNedA9J</t>
  </si>
  <si>
    <t>https://drive.google.com/file/d/1-zhfkE0KXuT3Gc9tqux7r5bNklNedA9J/view?usp=drivesdk</t>
  </si>
  <si>
    <t>&lt;202608280300.71093640140@smtp-relay.mailin.fr&gt;</t>
  </si>
  <si>
    <t>대대</t>
  </si>
  <si>
    <t>djzingga@kakao.com</t>
  </si>
  <si>
    <t>18JuNSKmnPPkggO7fotbfwKmC0lvwVbdL</t>
  </si>
  <si>
    <t>https://drive.google.com/file/d/18JuNSKmnPPkggO7fotbfwKmC0lvwVbdL/view?usp=drivesdk</t>
  </si>
  <si>
    <t>&lt;202608280331.66599928581@smtp-relay.mailin.fr&gt;</t>
  </si>
  <si>
    <t>최우수</t>
  </si>
  <si>
    <t>choiwsjh@naver.com</t>
  </si>
  <si>
    <t>1FGRMtq7evwochlySZfvHq-889SEQ5r8W</t>
  </si>
  <si>
    <t>https://drive.google.com/file/d/1FGRMtq7evwochlySZfvHq-889SEQ5r8W/view?usp=drivesdk</t>
  </si>
  <si>
    <t>&lt;202608280336.71456436142@smtp-relay.mailin.fr&gt;</t>
  </si>
  <si>
    <t>지현</t>
  </si>
  <si>
    <t>dkswlgus001@daum.net</t>
  </si>
  <si>
    <t>1ySHUzFs0H_S2xbNdYQa20mgn9-qS2VWr</t>
  </si>
  <si>
    <t>https://drive.google.com/file/d/1ySHUzFs0H_S2xbNdYQa20mgn9-qS2VWr/view?usp=drivesdk</t>
  </si>
  <si>
    <t>&lt;202608280349.37618892918@smtp-relay.mailin.fr&gt;</t>
  </si>
  <si>
    <t>1uIlPBwxXDtDkSo9QIWKintwuPxrybV-Y</t>
  </si>
  <si>
    <t>https://drive.google.com/file/d/1uIlPBwxXDtDkSo9QIWKintwuPxrybV-Y/view?usp=drivesdk</t>
  </si>
  <si>
    <t>&lt;202608280406.16503557301@smtp-relay.mailin.fr&gt;</t>
  </si>
  <si>
    <t>배윤호</t>
  </si>
  <si>
    <t>batisu0518@gmail.com</t>
  </si>
  <si>
    <t>1VUNT8MKwDysTPmMJ1WpNz61hUgNSQlqa</t>
  </si>
  <si>
    <t>https://drive.google.com/file/d/1VUNT8MKwDysTPmMJ1WpNz61hUgNSQlqa/view?usp=drivesdk</t>
  </si>
  <si>
    <t>&lt;202608280431.41221224453@smtp-relay.mailin.fr&gt;</t>
  </si>
  <si>
    <t>양승주</t>
  </si>
  <si>
    <t>ysjmy2021@gmail.com</t>
  </si>
  <si>
    <t>1iIWozJgFX8GAcDKyWwxRQ6JEvJ35Xudw</t>
  </si>
  <si>
    <t>https://drive.google.com/file/d/1iIWozJgFX8GAcDKyWwxRQ6JEvJ35Xudw/view?usp=drivesdk</t>
  </si>
  <si>
    <t>&lt;202608280535.72726416733@smtp-relay.mailin.fr&gt;</t>
  </si>
  <si>
    <t>83대대</t>
  </si>
  <si>
    <t>0000</t>
  </si>
  <si>
    <t>gainlibe@naver.com</t>
  </si>
  <si>
    <t>1q1iskmRnIUF8Xv7dKVarw8JysXvty07O</t>
  </si>
  <si>
    <t>https://drive.google.com/file/d/1q1iskmRnIUF8Xv7dKVarw8JysXvty07O/view?usp=drivesdk</t>
  </si>
  <si>
    <t>&lt;202609030721.92273149956@smtp-relay.mailin.fr&gt;</t>
  </si>
  <si>
    <t>asd</t>
  </si>
  <si>
    <t>asdf</t>
  </si>
  <si>
    <t>spdlqj1904@naver.com</t>
  </si>
  <si>
    <t>14zVUWgidryTn7VhPNeKRk6noeFRlg322</t>
  </si>
  <si>
    <t>https://drive.google.com/file/d/14zVUWgidryTn7VhPNeKRk6noeFRlg322/view?usp=drivesdk</t>
  </si>
  <si>
    <t>&lt;202609210431.86576973102@smtp-relay.mailin.fr&gt;</t>
  </si>
  <si>
    <t>최승준(TEST)</t>
  </si>
  <si>
    <t>1lQ5EUIB9qLyV1vZmqNBWxlHACBCSNW_3</t>
  </si>
  <si>
    <t>https://drive.google.com/file/d/1lQ5EUIB9qLyV1vZmqNBWxlHACBCSNW_3/view?usp=drivesdk</t>
  </si>
  <si>
    <t>&lt;202609210432.42905291148@smtp-relay.mailin.fr&gt;</t>
  </si>
  <si>
    <t>1Pm0eUK2EIKVDsdbC2NaXyMeBiRoutsEq</t>
  </si>
  <si>
    <t>https://drive.google.com/file/d/1Pm0eUK2EIKVDsdbC2NaXyMeBiRoutsEq/view?usp=drivesdk</t>
  </si>
  <si>
    <t>&lt;202609210432.81189173210@smtp-relay.mailin.fr&gt;</t>
  </si>
  <si>
    <t>Asd</t>
  </si>
  <si>
    <t>1hKuuYkQmw-vf4nAvlQ_oM-8ZIIiD6m0o</t>
  </si>
  <si>
    <t>https://drive.google.com/file/d/1hKuuYkQmw-vf4nAvlQ_oM-8ZIIiD6m0o/view?usp=drivesdk</t>
  </si>
  <si>
    <t>&lt;202609210433.61722692260@smtp-relay.mailin.fr&gt;</t>
  </si>
  <si>
    <t>이기창</t>
  </si>
  <si>
    <t>1NcG5SzzkVZq8q2PblN0b2G6ek8xzNKkE</t>
  </si>
  <si>
    <t>https://drive.google.com/file/d/1NcG5SzzkVZq8q2PblN0b2G6ek8xzNKkE/view?usp=drivesdk</t>
  </si>
  <si>
    <t>&lt;202609210434.12027778846@smtp-relay.mailin.fr&gt;</t>
  </si>
  <si>
    <t>1e2U6gzVr75xHJzA4YwP5w8hpTNer9T2G</t>
  </si>
  <si>
    <t>https://drive.google.com/file/d/1e2U6gzVr75xHJzA4YwP5w8hpTNer9T2G/view?usp=drivesdk</t>
  </si>
  <si>
    <t>&lt;202609210434.94440775462@smtp-relay.mailin.fr&gt;</t>
  </si>
  <si>
    <t>강동현</t>
  </si>
  <si>
    <t>dhang0906@gmail.com</t>
  </si>
  <si>
    <t>1vQ3pjWXgisKo8GRrCSxd4NZ5yO_bSeP1</t>
  </si>
  <si>
    <t>https://drive.google.com/file/d/1vQ3pjWXgisKo8GRrCSxd4NZ5yO_bSeP1/view?usp=drivesdk</t>
  </si>
  <si>
    <t>&lt;202609220036.61250250350@smtp-relay.mailin.fr&gt;</t>
  </si>
  <si>
    <t>정원영</t>
  </si>
  <si>
    <t>wonyeong7988@gmail.com</t>
  </si>
  <si>
    <t>1MljGdIYy1AR-GcZqX21aBVVJlgUhSccY</t>
  </si>
  <si>
    <t>https://drive.google.com/file/d/1MljGdIYy1AR-GcZqX21aBVVJlgUhSccY/view?usp=drivesdk</t>
  </si>
  <si>
    <t>&lt;202609220037.99855860955@smtp-relay.mailin.fr&gt;</t>
  </si>
  <si>
    <t>나종긍</t>
  </si>
  <si>
    <t>whdrms1579@naver.com</t>
  </si>
  <si>
    <t>1A7OlGGWt1b9SwtXqAy6mh2pbz8OvQTEq</t>
  </si>
  <si>
    <t>https://drive.google.com/file/d/1A7OlGGWt1b9SwtXqAy6mh2pbz8OvQTEq/view?usp=drivesdk</t>
  </si>
  <si>
    <t>&lt;202609220038.84358953264@smtp-relay.mailin.fr&gt;</t>
  </si>
  <si>
    <t>황주원</t>
  </si>
  <si>
    <t>tjfl1224@naver.com</t>
  </si>
  <si>
    <t>1AxG8eCFxGECPDrlGNwd-0qt00SB5lboQ</t>
  </si>
  <si>
    <t>https://drive.google.com/file/d/1AxG8eCFxGECPDrlGNwd-0qt00SB5lboQ/view?usp=drivesdk</t>
  </si>
  <si>
    <t>&lt;202609220038.29668060882@smtp-relay.mailin.fr&gt;</t>
  </si>
  <si>
    <t>나나</t>
  </si>
  <si>
    <t>mancity19@naver.com</t>
  </si>
  <si>
    <t>1i2hgD_wjzULtKyj-Unhp7UNy_4buZR0g</t>
  </si>
  <si>
    <t>https://drive.google.com/file/d/1i2hgD_wjzULtKyj-Unhp7UNy_4buZR0g/view?usp=drivesdk</t>
  </si>
  <si>
    <t>&lt;202609220039.29954071268@smtp-relay.mailin.fr&gt;</t>
  </si>
  <si>
    <t>신지효</t>
  </si>
  <si>
    <t>jihyo5609@naver.com</t>
  </si>
  <si>
    <t>1Y5IKLTrWOFSOgFW0lMYto_bbZ8B-fsSm</t>
  </si>
  <si>
    <t>https://drive.google.com/file/d/1Y5IKLTrWOFSOgFW0lMYto_bbZ8B-fsSm/view?usp=drivesdk</t>
  </si>
  <si>
    <t>&lt;202609220039.36796434603@smtp-relay.mailin.fr&gt;</t>
  </si>
  <si>
    <t>전호제</t>
  </si>
  <si>
    <t>jhj9183061@naver.com</t>
  </si>
  <si>
    <t>1mkaQYpc43geoqH2iW7eD_JuuLdHKxQ76</t>
  </si>
  <si>
    <t>https://drive.google.com/file/d/1mkaQYpc43geoqH2iW7eD_JuuLdHKxQ76/view?usp=drivesdk</t>
  </si>
  <si>
    <t>&lt;202609220039.47482397650@smtp-relay.mailin.fr&gt;</t>
  </si>
  <si>
    <t>정우</t>
  </si>
  <si>
    <t>jeongwoo0831@naver.com</t>
  </si>
  <si>
    <t>유민규</t>
  </si>
  <si>
    <t>youminkyu0104@gmail.com</t>
  </si>
  <si>
    <t>최동민</t>
  </si>
  <si>
    <t>ssa4448@naver.com</t>
  </si>
  <si>
    <t>1bKQjCbHI3fahqGrJxMsqbTCUP2Pw4uCk</t>
  </si>
  <si>
    <t>https://drive.google.com/file/d/1bKQjCbHI3fahqGrJxMsqbTCUP2Pw4uCk/view?usp=drivesdk</t>
  </si>
  <si>
    <t>&lt;202609220039.89000987020@smtp-relay.mailin.fr&gt;</t>
  </si>
  <si>
    <t>이용욱</t>
  </si>
  <si>
    <t>모름(미검사)</t>
  </si>
  <si>
    <t>eyedyd@naver.com</t>
  </si>
  <si>
    <t>한주리</t>
  </si>
  <si>
    <t>juvelyly9987@naver.com</t>
  </si>
  <si>
    <t>곽민경</t>
  </si>
  <si>
    <t>min0504k@naver.com</t>
  </si>
  <si>
    <t>1U9KqIRnOhj88tBIkI2TsxoX852wOUp1_</t>
  </si>
  <si>
    <t>https://drive.google.com/file/d/1U9KqIRnOhj88tBIkI2TsxoX852wOUp1_/view?usp=drivesdk</t>
  </si>
  <si>
    <t>&lt;202609220040.98800933444@smtp-relay.mailin.fr&gt;</t>
  </si>
  <si>
    <t>양정후</t>
  </si>
  <si>
    <t>Estp</t>
  </si>
  <si>
    <t>yjs7658@naver.com</t>
  </si>
  <si>
    <t>이재원</t>
  </si>
  <si>
    <t>jaewo5504@naver.com</t>
  </si>
  <si>
    <t>김동현</t>
  </si>
  <si>
    <t>danny-07@naver.com</t>
  </si>
  <si>
    <t>1GC6Lkbj0x_BmznlkF0ELzthgRwhvS8yX</t>
  </si>
  <si>
    <t>https://drive.google.com/file/d/1GC6Lkbj0x_BmznlkF0ELzthgRwhvS8yX/view?usp=drivesdk</t>
  </si>
  <si>
    <t>&lt;202609220040.79899408118@smtp-relay.mailin.fr&gt;</t>
  </si>
  <si>
    <t>오승민</t>
  </si>
  <si>
    <t>ohsm1@naver.com</t>
  </si>
  <si>
    <t>1MFqDqwdAnuJXQleo98lEQM7ynfnObtv8</t>
  </si>
  <si>
    <t>https://drive.google.com/file/d/1MFqDqwdAnuJXQleo98lEQM7ynfnObtv8/view?usp=drivesdk</t>
  </si>
  <si>
    <t>&lt;202609220040.52250900762@smtp-relay.mailin.fr&gt;</t>
  </si>
  <si>
    <t>여동구</t>
  </si>
  <si>
    <t>brian0703@naver.com</t>
  </si>
  <si>
    <t>김동욱</t>
  </si>
  <si>
    <t>kdu030325@naver.com</t>
  </si>
  <si>
    <t>배재영</t>
  </si>
  <si>
    <t>qowodud0614@naver.com</t>
  </si>
  <si>
    <t>김준오</t>
  </si>
  <si>
    <t>juneoh21@naver.com</t>
  </si>
  <si>
    <t>1udm8Q_haGuw0XBM1TgnpTAfGYZo69_8W</t>
  </si>
  <si>
    <t>https://drive.google.com/file/d/1udm8Q_haGuw0XBM1TgnpTAfGYZo69_8W/view?usp=drivesdk</t>
  </si>
  <si>
    <t>&lt;202609220040.45748116049@smtp-relay.mailin.fr&gt;</t>
  </si>
  <si>
    <t>윤재원</t>
  </si>
  <si>
    <t>dbswodnjs195@naver.com</t>
  </si>
  <si>
    <t>스트릿파이터</t>
  </si>
  <si>
    <t>dlstjd5150@naver.com</t>
  </si>
  <si>
    <t>최연재</t>
  </si>
  <si>
    <t>3209choe@gmail.com</t>
  </si>
  <si>
    <t>1Y6zpZHh0NSoOA8x9O4101GWA4qDkh77J</t>
  </si>
  <si>
    <t>https://drive.google.com/file/d/1Y6zpZHh0NSoOA8x9O4101GWA4qDkh77J/view?usp=drivesdk</t>
  </si>
  <si>
    <t>&lt;202609220040.34996139712@smtp-relay.mailin.fr&gt;</t>
  </si>
  <si>
    <t>윤어진</t>
  </si>
  <si>
    <t>euh0116@naver.com</t>
  </si>
  <si>
    <t>1KJkdqiko5zIwPsmkZHReXM6tITTW54VO</t>
  </si>
  <si>
    <t>https://drive.google.com/file/d/1KJkdqiko5zIwPsmkZHReXM6tITTW54VO/view?usp=drivesdk</t>
  </si>
  <si>
    <t>&lt;202609220041.62000687888@smtp-relay.mailin.fr&gt;</t>
  </si>
  <si>
    <t>유민혁</t>
  </si>
  <si>
    <t>a120876@naver.com</t>
  </si>
  <si>
    <t>1G_4TzTdn0ILYIPY5-9HwN859SMeUBdrn</t>
  </si>
  <si>
    <t>https://drive.google.com/file/d/1G_4TzTdn0ILYIPY5-9HwN859SMeUBdrn/view?usp=drivesdk</t>
  </si>
  <si>
    <t>&lt;202609220041.93111148808@smtp-relay.mailin.fr&gt;</t>
  </si>
  <si>
    <t>배진이</t>
  </si>
  <si>
    <t>baejinih@naver.com</t>
  </si>
  <si>
    <t>이기원</t>
  </si>
  <si>
    <t>dlrldnjs73@naver.com</t>
  </si>
  <si>
    <t>강희재</t>
  </si>
  <si>
    <t>heejae515246@naver.com</t>
  </si>
  <si>
    <t>전준도르</t>
  </si>
  <si>
    <t>Enfj</t>
  </si>
  <si>
    <t>yjg5966@naver.com</t>
  </si>
  <si>
    <t>조솔희</t>
  </si>
  <si>
    <t>josolhee3128@naver.com</t>
  </si>
  <si>
    <t>1p5s6aHPb79l2FkfsosaEN2T9ffB5Ls3V</t>
  </si>
  <si>
    <t>https://drive.google.com/file/d/1p5s6aHPb79l2FkfsosaEN2T9ffB5Ls3V/view?usp=drivesdk</t>
  </si>
  <si>
    <t>&lt;202609220041.95149508253@smtp-relay.mailin.fr&gt;</t>
  </si>
  <si>
    <t>강태식</t>
  </si>
  <si>
    <t>skeas9648@naver.com</t>
  </si>
  <si>
    <t>홍주환</t>
  </si>
  <si>
    <t>ghaghagha848@gmail.com</t>
  </si>
  <si>
    <t>김태현</t>
  </si>
  <si>
    <t>rlaxogus-0204@naver.com</t>
  </si>
  <si>
    <t>박규서</t>
  </si>
  <si>
    <t>yp08pgs@gmail.com</t>
  </si>
  <si>
    <t>1ODGe47uhUzc27MY5S5gYOvzyYt3oTbOp</t>
  </si>
  <si>
    <t>https://drive.google.com/file/d/1ODGe47uhUzc27MY5S5gYOvzyYt3oTbOp/view?usp=drivesdk</t>
  </si>
  <si>
    <t>&lt;202609220041.99611077560@smtp-relay.mailin.fr&gt;</t>
  </si>
  <si>
    <t>김노훈</t>
  </si>
  <si>
    <t>rlashgns12@gmail.com</t>
  </si>
  <si>
    <t>1cV9zt7rVRNkVQJ4hylsQ1Stj4DwJxU2Q</t>
  </si>
  <si>
    <t>https://drive.google.com/file/d/1cV9zt7rVRNkVQJ4hylsQ1Stj4DwJxU2Q/view?usp=drivesdk</t>
  </si>
  <si>
    <t>&lt;202609220041.42094019492@smtp-relay.mailin.fr&gt;</t>
  </si>
  <si>
    <t>룰룬로</t>
  </si>
  <si>
    <t>dlswodus0919@naver.con</t>
  </si>
  <si>
    <t>신영훈</t>
  </si>
  <si>
    <t>syh021124@naver.com</t>
  </si>
  <si>
    <t>뿡뿡이</t>
  </si>
  <si>
    <t>psj7145@naver.com</t>
  </si>
  <si>
    <t>1QauktepWn5WeANw-ZCykkQTNFQKNHV__</t>
  </si>
  <si>
    <t>https://drive.google.com/file/d/1QauktepWn5WeANw-ZCykkQTNFQKNHV__/view?usp=drivesdk</t>
  </si>
  <si>
    <t>&lt;202609220041.90830892301@smtp-relay.mailin.fr&gt;</t>
  </si>
  <si>
    <t>멸공북진북괴김정은을때려잡자</t>
  </si>
  <si>
    <t>racoons1996@naver.com</t>
  </si>
  <si>
    <t>김민성</t>
  </si>
  <si>
    <t>kims6686@naver.com</t>
  </si>
  <si>
    <t>1HZYbloT9345ksVTmw_QDiLFwXgoi6KVt</t>
  </si>
  <si>
    <t>https://drive.google.com/file/d/1HZYbloT9345ksVTmw_QDiLFwXgoi6KVt/view?usp=drivesdk</t>
  </si>
  <si>
    <t>&lt;202609220042.16638554764@smtp-relay.mailin.fr&gt;</t>
  </si>
  <si>
    <t>이유인</t>
  </si>
  <si>
    <t>dlsdk8008@naver.com</t>
  </si>
  <si>
    <t>이나영</t>
  </si>
  <si>
    <t>skfjddl03@naver.com</t>
  </si>
  <si>
    <t>1bk7AvO1NtCbOAIf5_A0bKmNp_I0H9vxQ</t>
  </si>
  <si>
    <t>https://drive.google.com/file/d/1bk7AvO1NtCbOAIf5_A0bKmNp_I0H9vxQ/view?usp=drivesdk</t>
  </si>
  <si>
    <t>&lt;202609220042.96944094742@smtp-relay.mailin.fr&gt;</t>
  </si>
  <si>
    <t>웅</t>
  </si>
  <si>
    <t>jadenn@naver.com</t>
  </si>
  <si>
    <t>유병규</t>
  </si>
  <si>
    <t>yubyunggyu@naver.com</t>
  </si>
  <si>
    <t>정지석</t>
  </si>
  <si>
    <t>wltjr3082@naver.com</t>
  </si>
  <si>
    <t>김유민</t>
  </si>
  <si>
    <t>umin03@naver.com</t>
  </si>
  <si>
    <t>1K2U0gQvuwbV2Bc3q25mP5rTxr7cz4Zz4</t>
  </si>
  <si>
    <t>https://drive.google.com/file/d/1K2U0gQvuwbV2Bc3q25mP5rTxr7cz4Zz4/view?usp=drivesdk</t>
  </si>
  <si>
    <t>&lt;202609220042.35410227840@smtp-relay.mailin.fr&gt;</t>
  </si>
  <si>
    <t>유태양</t>
  </si>
  <si>
    <t>yty044850@naver.com</t>
  </si>
  <si>
    <t>1K-ogb_YaE-2-nGLXiN4TCcahH6NmPWmz</t>
  </si>
  <si>
    <t>https://drive.google.com/file/d/1K-ogb_YaE-2-nGLXiN4TCcahH6NmPWmz/view?usp=drivesdk</t>
  </si>
  <si>
    <t>&lt;202609220042.50202582207@smtp-relay.mailin.fr&gt;</t>
  </si>
  <si>
    <t>강현구</t>
  </si>
  <si>
    <t>hank0825@naver.com</t>
  </si>
  <si>
    <t>박설희</t>
  </si>
  <si>
    <t>intp</t>
  </si>
  <si>
    <t>earthsh1205@naver.com</t>
  </si>
  <si>
    <t>한지훈</t>
  </si>
  <si>
    <t>gks134525@naver.com</t>
  </si>
  <si>
    <t>1MH2rZHfOKye1TnKcp3hd4SxhN3gk4Lua</t>
  </si>
  <si>
    <t>https://drive.google.com/file/d/1MH2rZHfOKye1TnKcp3hd4SxhN3gk4Lua/view?usp=drivesdk</t>
  </si>
  <si>
    <t>&lt;202609220042.72208403697@smtp-relay.mailin.fr&gt;</t>
  </si>
  <si>
    <t>황준성</t>
  </si>
  <si>
    <t>ghkd8029@naver.com</t>
  </si>
  <si>
    <t>1DAxg-RmZVHrhSBo4rUIbFSw9IsUxcseL</t>
  </si>
  <si>
    <t>https://drive.google.com/file/d/1DAxg-RmZVHrhSBo4rUIbFSw9IsUxcseL/view?usp=drivesdk</t>
  </si>
  <si>
    <t>&lt;202609220043.77496059378@smtp-relay.mailin.fr&gt;</t>
  </si>
  <si>
    <t>이채영</t>
  </si>
  <si>
    <t>lcy6278@naver.com</t>
  </si>
  <si>
    <t xml:space="preserve">황인성 </t>
  </si>
  <si>
    <t>fdiddft234@naver.com</t>
  </si>
  <si>
    <t>장진석</t>
  </si>
  <si>
    <t>jinsuk0718@gmail.com</t>
  </si>
  <si>
    <t>1VoOLi6W2Qdjjed2KyET0Ytrq_ccKe7uV</t>
  </si>
  <si>
    <t>https://drive.google.com/file/d/1VoOLi6W2Qdjjed2KyET0Ytrq_ccKe7uV/view?usp=drivesdk</t>
  </si>
  <si>
    <t>&lt;202609220043.51336085627@smtp-relay.mailin.fr&gt;</t>
  </si>
  <si>
    <t>전준호</t>
  </si>
  <si>
    <t>juno3064@naver.com</t>
  </si>
  <si>
    <t>1YP4cH9gc7qw_TTccd_jpZdMDEn6jb-u2</t>
  </si>
  <si>
    <t>https://drive.google.com/file/d/1YP4cH9gc7qw_TTccd_jpZdMDEn6jb-u2/view?usp=drivesdk</t>
  </si>
  <si>
    <t>&lt;202609220043.12945219502@smtp-relay.mailin.fr&gt;</t>
  </si>
  <si>
    <t>이재준</t>
  </si>
  <si>
    <t>jboxjaejun5788@naver.com</t>
  </si>
  <si>
    <t>1eGxsntAfIhgox9UGaYqkEOtamqVxSr_m</t>
  </si>
  <si>
    <t>https://drive.google.com/file/d/1eGxsntAfIhgox9UGaYqkEOtamqVxSr_m/view?usp=drivesdk</t>
  </si>
  <si>
    <t>&lt;202609220043.42315642467@smtp-relay.mailin.fr&gt;</t>
  </si>
  <si>
    <t>허웅</t>
  </si>
  <si>
    <t>gjdnd0516@naver.com</t>
  </si>
  <si>
    <t>정우성</t>
  </si>
  <si>
    <t>hjkl32126@naver.com</t>
  </si>
  <si>
    <t>이주원</t>
  </si>
  <si>
    <t>dmschd030407@gmail.com</t>
  </si>
  <si>
    <t>이효련</t>
  </si>
  <si>
    <t>hahadaisy@naver.com</t>
  </si>
  <si>
    <t>1Ml-Wi1GyNZzIhUznpBp_NbRvhTC8cZ_7</t>
  </si>
  <si>
    <t>https://drive.google.com/file/d/1Ml-Wi1GyNZzIhUznpBp_NbRvhTC8cZ_7/view?usp=drivesdk</t>
  </si>
  <si>
    <t>&lt;202609220043.93499285096@smtp-relay.mailin.fr&gt;</t>
  </si>
  <si>
    <t>부리부리마왕</t>
  </si>
  <si>
    <t>hshphk2@naver.com</t>
  </si>
  <si>
    <t>1x7x5CO400cxQKn07tgBafbL8Ilt2v4iB</t>
  </si>
  <si>
    <t>https://drive.google.com/file/d/1x7x5CO400cxQKn07tgBafbL8Ilt2v4iB/view?usp=drivesdk</t>
  </si>
  <si>
    <t>&lt;202609220043.89087933923@smtp-relay.mailin.fr&gt;</t>
  </si>
  <si>
    <t>이승현</t>
  </si>
  <si>
    <t>dltmdgus0723@naver.com</t>
  </si>
  <si>
    <t>정의무대대</t>
  </si>
  <si>
    <t>ktu11119@naver.com</t>
  </si>
  <si>
    <t>박재한</t>
  </si>
  <si>
    <t>qkrwogks59@gmail.com</t>
  </si>
  <si>
    <t>10LNnk8djTV5wKmmivVVYluez0bUJcXzq</t>
  </si>
  <si>
    <t>https://drive.google.com/file/d/10LNnk8djTV5wKmmivVVYluez0bUJcXzq/view?usp=drivesdk</t>
  </si>
  <si>
    <t>&lt;202609220044.97218056033@smtp-relay.mailin.fr&gt;</t>
  </si>
  <si>
    <t>김연정</t>
  </si>
  <si>
    <t>dusdus_yeon@naver.com</t>
  </si>
  <si>
    <t>18wM0OFz7gV7gpP_P5tufdcHQl-kpcTjf</t>
  </si>
  <si>
    <t>https://drive.google.com/file/d/18wM0OFz7gV7gpP_P5tufdcHQl-kpcTjf/view?usp=drivesdk</t>
  </si>
  <si>
    <t>&lt;202609220044.97451910245@smtp-relay.mailin.fr&gt;</t>
  </si>
  <si>
    <t>므므</t>
  </si>
  <si>
    <t>msoil98@naver.com</t>
  </si>
  <si>
    <t>1Ze4Y8mMF8mEHp-6TyakDpaEc6TI7n881</t>
  </si>
  <si>
    <t>https://drive.google.com/file/d/1Ze4Y8mMF8mEHp-6TyakDpaEc6TI7n881/view?usp=drivesdk</t>
  </si>
  <si>
    <t>&lt;202609220045.42904545548@smtp-relay.mailin.fr&gt;</t>
  </si>
  <si>
    <t>노진섭</t>
  </si>
  <si>
    <t>jinseob7276@naver.com</t>
  </si>
  <si>
    <t>1DX7pnwgV5z2jV_NTXaqiMIdtbg_b9NZc</t>
  </si>
  <si>
    <t>https://drive.google.com/file/d/1DX7pnwgV5z2jV_NTXaqiMIdtbg_b9NZc/view?usp=drivesdk</t>
  </si>
  <si>
    <t>&lt;202609220045.76397609456@smtp-relay.mailin.fr&gt;</t>
  </si>
  <si>
    <t>유세이</t>
  </si>
  <si>
    <t>0507jisu@naver.com</t>
  </si>
  <si>
    <t>1He8KNGJ1xs2whW_e-8UJ0gTD-bo9jcpQ</t>
  </si>
  <si>
    <t>https://drive.google.com/file/d/1He8KNGJ1xs2whW_e-8UJ0gTD-bo9jcpQ/view?usp=drivesdk</t>
  </si>
  <si>
    <t>&lt;202609220051.28263148535@smtp-relay.mailin.fr&gt;</t>
  </si>
  <si>
    <t>장장</t>
  </si>
  <si>
    <t>a77308084@gmail.com</t>
  </si>
  <si>
    <t>이지수</t>
  </si>
  <si>
    <t>tpdl2856@naver.com</t>
  </si>
  <si>
    <t>1pEI0YAhs7MxQB-LhEE7vHXTA3oEHP4o_</t>
  </si>
  <si>
    <t>https://drive.google.com/file/d/1pEI0YAhs7MxQB-LhEE7vHXTA3oEHP4o_/view?usp=drivesdk</t>
  </si>
  <si>
    <t>&lt;202609220045.90718379379@smtp-relay.mailin.fr&gt;</t>
  </si>
  <si>
    <t>쭈콩</t>
  </si>
  <si>
    <t>pjs35114@naver.com</t>
  </si>
  <si>
    <t>18rKD4Xbp_wE920ys5R1a5HuYdHS3Yqdw</t>
  </si>
  <si>
    <t>https://drive.google.com/file/d/18rKD4Xbp_wE920ys5R1a5HuYdHS3Yqdw/view?usp=drivesdk</t>
  </si>
  <si>
    <t>&lt;202609220228.21001663196@smtp-relay.mailin.fr&gt;</t>
  </si>
  <si>
    <t>임혜린</t>
  </si>
  <si>
    <t>leemhyerin0613@naver.com</t>
  </si>
  <si>
    <t>17untVSVOfd7lGAWFAYA_cOKKj5rb2az_</t>
  </si>
  <si>
    <t>https://drive.google.com/file/d/17untVSVOfd7lGAWFAYA_cOKKj5rb2az_/view?usp=drivesdk</t>
  </si>
  <si>
    <t>&lt;202609220229.29220521239@smtp-relay.mailin.fr&gt;</t>
  </si>
  <si>
    <t>황건우</t>
  </si>
  <si>
    <t>ghkdrjsdn789@naver.com</t>
  </si>
  <si>
    <t>1wyRjwOa83zz-Qjp19b2ju2WOmJPlSozw</t>
  </si>
  <si>
    <t>https://drive.google.com/file/d/1wyRjwOa83zz-Qjp19b2ju2WOmJPlSozw/view?usp=drivesdk</t>
  </si>
  <si>
    <t>&lt;202609220229.27915492707@smtp-relay.mailin.fr&gt;</t>
  </si>
  <si>
    <t>박세준</t>
  </si>
  <si>
    <t>socks0096@naver.com</t>
  </si>
  <si>
    <t>1muEH3qUu_fGl9ld73x9WqRSTtc6NDCSC</t>
  </si>
  <si>
    <t>https://drive.google.com/file/d/1muEH3qUu_fGl9ld73x9WqRSTtc6NDCSC/view?usp=drivesdk</t>
  </si>
  <si>
    <t>&lt;202609220229.57256252429@smtp-relay.mailin.fr&gt;</t>
  </si>
  <si>
    <t>석호준</t>
  </si>
  <si>
    <t>ghwns11706@gmail.com</t>
  </si>
  <si>
    <t>1dfYkX8UFnpsEN2_tGHSu_QqJVu6G0Jiz</t>
  </si>
  <si>
    <t>https://drive.google.com/file/d/1dfYkX8UFnpsEN2_tGHSu_QqJVu6G0Jiz/view?usp=drivesdk</t>
  </si>
  <si>
    <t>&lt;202609220229.48856241641@smtp-relay.mailin.fr&gt;</t>
  </si>
  <si>
    <t>노예본</t>
  </si>
  <si>
    <t>yebon0702@naver.com</t>
  </si>
  <si>
    <t>1oc2IMTNfhBcwZGk724WMCn5gdfN6m0ER</t>
  </si>
  <si>
    <t>https://drive.google.com/file/d/1oc2IMTNfhBcwZGk724WMCn5gdfN6m0ER/view?usp=drivesdk</t>
  </si>
  <si>
    <t>&lt;202609220229.98312262187@smtp-relay.mailin.fr&gt;</t>
  </si>
  <si>
    <t>조소담</t>
  </si>
  <si>
    <t>isfp</t>
  </si>
  <si>
    <t>sodame1101@naver.com</t>
  </si>
  <si>
    <t>1e0Ab-2xGSgqrAn1WsQ7p0U377YBJD7rZ</t>
  </si>
  <si>
    <t>https://drive.google.com/file/d/1e0Ab-2xGSgqrAn1WsQ7p0U377YBJD7rZ/view?usp=drivesdk</t>
  </si>
  <si>
    <t>&lt;202609220230.21219881955@smtp-relay.mailin.fr&gt;</t>
  </si>
  <si>
    <t>고은혜</t>
  </si>
  <si>
    <t>12dmssl@naver.com</t>
  </si>
  <si>
    <t>1gCWbN1VJVLrBht7dVCcmY_9ExQ6gDTvu</t>
  </si>
  <si>
    <t>https://drive.google.com/file/d/1gCWbN1VJVLrBht7dVCcmY_9ExQ6gDTvu/view?usp=drivesdk</t>
  </si>
  <si>
    <t>&lt;202609220230.65612217019@smtp-relay.mailin.fr&gt;</t>
  </si>
  <si>
    <t>최정환</t>
  </si>
  <si>
    <t>joungman00@naver.com</t>
  </si>
  <si>
    <t>1Gq7HohNvTUv6urhlb0jazFXijnPWSnTR</t>
  </si>
  <si>
    <t>https://drive.google.com/file/d/1Gq7HohNvTUv6urhlb0jazFXijnPWSnTR/view?usp=drivesdk</t>
  </si>
  <si>
    <t>&lt;202609220230.37412973242@smtp-relay.mailin.fr&gt;</t>
  </si>
  <si>
    <t>송영빈</t>
  </si>
  <si>
    <t>thddudqls21@naver.com</t>
  </si>
  <si>
    <t>1kwqSfbW9HlTB6_0-jueATDz4B7LovVfk</t>
  </si>
  <si>
    <t>https://drive.google.com/file/d/1kwqSfbW9HlTB6_0-jueATDz4B7LovVfk/view?usp=drivesdk</t>
  </si>
  <si>
    <t>&lt;202609220230.79491994697@smtp-relay.mailin.fr&gt;</t>
  </si>
  <si>
    <t>홍진호</t>
  </si>
  <si>
    <t>keats2024@outlook.com</t>
  </si>
  <si>
    <t>1W1nV4FcWsvauu8T9DAYEU7xkkIm8IRS7</t>
  </si>
  <si>
    <t>https://drive.google.com/file/d/1W1nV4FcWsvauu8T9DAYEU7xkkIm8IRS7/view?usp=drivesdk</t>
  </si>
  <si>
    <t>&lt;202609220230.74275857867@smtp-relay.mailin.fr&gt;</t>
  </si>
  <si>
    <t>국윤정</t>
  </si>
  <si>
    <t>poo012@naver.com</t>
  </si>
  <si>
    <t>1BTVIGP660mqfDVZv61yjfFrtfqY8Cciu</t>
  </si>
  <si>
    <t>https://drive.google.com/file/d/1BTVIGP660mqfDVZv61yjfFrtfqY8Cciu/view?usp=drivesdk</t>
  </si>
  <si>
    <t>&lt;202609220231.96900083103@smtp-relay.mailin.fr&gt;</t>
  </si>
  <si>
    <t>배시은</t>
  </si>
  <si>
    <t>eunsibae68@gmail.com</t>
  </si>
  <si>
    <t>15KvI5t-nFcUKPqOmRr3l-2nVfLNNjpeB</t>
  </si>
  <si>
    <t>https://drive.google.com/file/d/15KvI5t-nFcUKPqOmRr3l-2nVfLNNjpeB/view?usp=drivesdk</t>
  </si>
  <si>
    <t>&lt;202609220231.88301959461@smtp-relay.mailin.fr&gt;</t>
  </si>
  <si>
    <t>Jw</t>
  </si>
  <si>
    <t>1-BnB6g4ALM7vpZefDbchbWWlejXsn0Dx</t>
  </si>
  <si>
    <t>https://drive.google.com/file/d/1-BnB6g4ALM7vpZefDbchbWWlejXsn0Dx/view?usp=drivesdk</t>
  </si>
  <si>
    <t>&lt;202609220231.38837617317@smtp-relay.mailin.fr&gt;</t>
  </si>
  <si>
    <t>김은규</t>
  </si>
  <si>
    <t>dmsrb7802@naver.com</t>
  </si>
  <si>
    <t>1hPwZakCp5SC97W-lWj6eyGbtFiS9wn4X</t>
  </si>
  <si>
    <t>https://drive.google.com/file/d/1hPwZakCp5SC97W-lWj6eyGbtFiS9wn4X/view?usp=drivesdk</t>
  </si>
  <si>
    <t>&lt;202609220051.95906703885@smtp-relay.mailin.fr&gt;</t>
  </si>
  <si>
    <t>1zn6cGwSHRpqDgSI8OqN_WyRVO5SGw55F</t>
  </si>
  <si>
    <t>https://drive.google.com/file/d/1zn6cGwSHRpqDgSI8OqN_WyRVO5SGw55F/view?usp=drivesdk</t>
  </si>
  <si>
    <t>&lt;202609220058.41119036685@smtp-relay.mailin.fr&gt;</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</si>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</sst>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b/>
      <color theme="1"/>
      <name val="Arial"/>
    </font>
    <font>
      <color theme="1"/>
      <name val="Arial"/>
    </font>
    <font>
      <b/>
      <i/>
      <color rgb="FF000000"/>
      <name val="Arial"/>
      <scheme val="minor"/>
    </font>
    <font>
      <b/>
      <color theme="1"/>
      <name val="Arial"/>
      <scheme val="minor"/>
    </font>
    <font>
      <u/>
      <color rgb="FF0000FF"/>
    </font>
    <font>
      <u/>
      <color rgb="FF0000FF"/>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Alignment="1" applyFill="1" applyFont="1">
      <alignment readingOrder="0"/>
    </xf>
    <xf borderId="0" fillId="0" fontId="1" numFmtId="0" xfId="0" applyFont="1"/>
    <xf borderId="0" fillId="2" fontId="4" numFmtId="1" xfId="0" applyAlignment="1" applyFill="1" applyFont="1" applyNumberFormat="1">
      <alignment readingOrder="0"/>
    </xf>
    <xf borderId="0" fillId="0" fontId="1" numFmtId="0" xfId="0" applyFont="1"/>
    <xf borderId="0" fillId="0" fontId="1" numFmtId="49" xfId="0" applyAlignment="1" applyFont="1" applyNumberFormat="1">
      <alignment horizontal="left" readingOrder="0" shrinkToFit="0" vertical="center" wrapText="0"/>
    </xf>
    <xf borderId="0" fillId="0" fontId="5"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6" numFmtId="0" xfId="0" applyAlignment="1" applyFont="1">
      <alignment readingOrder="0"/>
    </xf>
    <xf borderId="0" fillId="0" fontId="7" numFmtId="0" xfId="0" applyFont="1"/>
    <xf borderId="0" fillId="0" fontId="1" numFmtId="14" xfId="0" applyAlignment="1" applyFont="1" applyNumberFormat="1">
      <alignment readingOrder="0"/>
    </xf>
    <xf borderId="0" fillId="0" fontId="1" numFmtId="1" xfId="0" applyAlignment="1" applyFont="1" applyNumberForma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시트-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Z101" displayName="Form_Responses" name="Form_Responses" id="1">
  <tableColumns count="78">
    <tableColumn name="타임스탬프" id="1"/>
    <tableColumn name="본인은 위에 제시된 개인정보 제공사항에 동의하십니까?" id="2"/>
    <tableColumn name="이름(별칭도 가능)" id="3"/>
    <tableColumn name="임관년도(형식 : 0000)" id="4"/>
    <tableColumn name="MBTI (대문자로 표시)" id="5"/>
    <tableColumn name="이메일 (army.mil 불가)" id="6"/>
    <tableColumn name="제목 없는 질문 [군 장비(차량, 화기, 장비)를 직접 다루고 정비하는 것이 좋다]" id="7"/>
    <tableColumn name="제목 없는 질문 [군 장비나 시스템의 작동 원리를 분석하는 것이 흥미롭다]" id="8"/>
    <tableColumn name="제목 없는 질문 [군 홍보물, 영상, 디자인 작업에 관심이 있다]" id="9"/>
    <tableColumn name="제목 없는 질문 [동료나 후임을 도와주는 것에서 보람을 느낀다]" id="10"/>
    <tableColumn name="제목 없는 질문 [팀이나 분대를 이끄는 역할을 맡고 싶다]" id="11"/>
    <tableColumn name="제목 없는 질문 [군 행정업무(문서, 보고서 작성)를 정확하게 수행할 수 있다]" id="12"/>
    <tableColumn name="제목 없는 질문 [총기 등의 장비를 분해하고 내부 구조를 이해하는 것을 좋아한다]" id="13"/>
    <tableColumn name="제목 없는 질문 [데이터를 기반으로 상황을 분석하고 결론을 도출하는 것을 좋아한다]" id="14"/>
    <tableColumn name="제목 없는 질문 [창의적인 방식의 임무수행을 좋아한다]" id="15"/>
    <tableColumn name="제목 없는 질문 [부대원을 교육하거나 지도하는 역할에 관심이 있다]" id="16"/>
    <tableColumn name="제목 없는 질문 [중요한 결정을 내리는 위치에 서고 싶다]" id="17"/>
    <tableColumn name="제목 없는 질문 [군 규정과 절차를 철저히 지키는 것이 중요하다고 생각한다]" id="18"/>
    <tableColumn name="제목 없는 질문 [실내 근무보다 야외에서 임무를 수행하는 것을 선호한다]" id="19"/>
    <tableColumn name="제목 없는 질문 [문제를 논리적으로 해결하는 데 자신이 있다]" id="20"/>
    <tableColumn name="제목 없는 질문 [사진 촬영이나 영상 편집에 흥미가 있다]" id="21"/>
    <tableColumn name="제목 없는 질문 [부대원의 고민을 잘 들어주고 공감하는 편이다]" id="22"/>
    <tableColumn name="제목 없는 질문 [명확한 목표를 세우고 부대원을 이끄는 데 자신 있다]" id="23"/>
    <tableColumn name="제목 없는 질문 [물자와 보급품을 체계적으로 관리할 수 있다]" id="24"/>
    <tableColumn name="제목 없는 질문 [공구를 사용하여 전투장비나 시설을 수리하는 데 거부감이 없다]" id="25"/>
    <tableColumn name="제목 없는 질문 [새로운 기술(IT, 무기체계 등)을 배우는 것이 즐겁다]" id="26"/>
    <tableColumn name="제목 없는 질문 [음악, 공연, 문화 활동에 참여하는 것을 즐긴다]" id="27"/>
    <tableColumn name="제목 없는 질문 [부대 내 분위기를 좋게 만드는 데 기여하고 싶다]" id="28"/>
    <tableColumn name="제목 없는 질문 [부대원을 설득하고 동기를 부여할 수 있다]" id="29"/>
    <tableColumn name="제목 없는 질문 [기록 및 정리 업무를 꼼꼼하게 수행할 수 있다]" id="30"/>
    <tableColumn name="제목 없는 질문 [통신 장비나 케이블을 설치·점검하는 작업을 할 수 있다]" id="31"/>
    <tableColumn name="제목 없는 질문 [작전 상황을 분석하고 미래를 예측하는 역할에 관심 있다]" id="32"/>
    <tableColumn name="제목 없는 질문 [기존 방식보다 새로운 아이디어를 제시하는 편이다]" id="33"/>
    <tableColumn name="제목 없는 질문 [전우애를 중요하게 생각한다]" id="34"/>
    <tableColumn name="제목 없는 질문 [위기 상황에서 책임지고 판단할 수 있다]" id="35"/>
    <tableColumn name="제목 없는 질문 [반복적인 업무도 꾸준히 수행할 수 있다]" id="36"/>
    <tableColumn name="제목 없는 질문 [반복적인 전투장비 점검 및 유지보수 작업을 수행할 수 있다]" id="37"/>
    <tableColumn name="제목 없는 질문 [복잡한 문제도 끝까지 파고들어 해결하려는 성향이 있다]" id="38"/>
    <tableColumn name="제목 없는 질문 [디자인이나 콘텐츠 제작 활동을 좋아한다]" id="39"/>
    <tableColumn name="제목 없는 질문 [갈등 상황에서 중재하는 역할을 맡을 수 있다]" id="40"/>
    <tableColumn name="제목 없는 질문 [경쟁 상황에서 앞서고 싶은 욕구가 강하다]" id="41"/>
    <tableColumn name="제목 없는 질문 [숫자나 장부 관리에 자신이 있다]" id="42"/>
    <tableColumn name="제목 없는 질문 [몸을 쓰는 훈련이나 작업이 많은 임무를 선호한다]" id="43"/>
    <tableColumn name="제목 없는 질문 [전투 장비나 지휘통제 시스템 운용 업무에 흥미가 있다]" id="44"/>
    <tableColumn name="제목 없는 질문 [감정이나 생각을 표현하는 활동에 거리낌이 없다]" id="45"/>
    <tableColumn name="제목 없는 질문 [다른 사람의 성장이나 적응을 돕는 일에 관심 있다]" id="46"/>
    <tableColumn name="제목 없는 질문 [군대 조직 내에서 영향력을 발휘하고 싶다]" id="47"/>
    <tableColumn name="제목 없는 질문 [계획된 일정에 따라 움직이는 것을 선호한다]" id="48"/>
    <tableColumn name="제목 없는 질문 [전투장비 고장 시 원인을 직접 찾아 해결하는 것이 흥미롭다]" id="49"/>
    <tableColumn name="제목 없는 질문 [정보 수집 후 이를 체계적으로 정리하고 분석할 수 있다]" id="50"/>
    <tableColumn name="제목 없는 질문 [군의 틀에 박힌 방식보다 자유로운 표현을 선호한다]" id="51"/>
    <tableColumn name="제목 없는 질문 [부대원과 협력하여 문제를 해결하는 것을 선호한다]" id="52"/>
    <tableColumn name="제목 없는 질문 [부대원 앞에서 발표하거나 지시하는 것이 어렵지 않다]" id="53"/>
    <tableColumn name="제목 없는 질문 [실수 없이 정확하게 일을 처리하는 것이 중요하다]" id="54"/>
    <tableColumn name="제목 없는 질문 [위험 요소가 있는 부대 현장 작업에서도 침착하게 임무를 수행할 수 있다]" id="55"/>
    <tableColumn name="제목 없는 질문 [훈련간 발생한 문제의 원인과 결과를 따져보는 사고방식을 자주 사용한다]" id="56"/>
    <tableColumn name="제목 없는 질문 [시각적 요소(포스터, 영상 등)에 관심이 많다]" id="57"/>
    <tableColumn name="제목 없는 질문 [부대원들과 소통하는 것이 어렵지 않다]" id="58"/>
    <tableColumn name="제목 없는 질문 [임무 달성을 위해 적극적으로 행동하는 편이다]" id="59"/>
    <tableColumn name="제목 없는 질문 [체계적인 부대 시스템 속에서 일하는 것이 편하다]" id="60"/>
    <tableColumn name="제목 없는 질문 [매뉴얼에 따라 장비를 정확하게 다루는 것이 중요하다고 생각한다]" id="61"/>
    <tableColumn name="제목 없는 질문 [단순 반복 업무보다 문제 해결 중심의 업무를 선호한다]" id="62"/>
    <tableColumn name="제목 없는 질문 [부대 내에서 창의적인 역할을 맡고 싶다]" id="63"/>
    <tableColumn name="제목 없는 질문 [부대 내에서 배려와 지원 역할을 자연스럽게 맡는다]" id="64"/>
    <tableColumn name="제목 없는 질문 [지휘자(관)로서 인정받는 것에 동기부여를 느낀다]" id="65"/>
    <tableColumn name="제목 없는 질문 [정해진 양식과 기준에 맞춰 일을 수행하는 것을 선호한다]" id="66"/>
    <tableColumn name="제목 없는 질문 [장비 운용 시 안전과 임무 효율 사이의 균형을 고려할 수 있다]" id="67"/>
    <tableColumn name="제목 없는 질문 [기술적 오류나 이상 징후를 논리적으로 추적해 원인을 규명하려 한다]" id="68"/>
    <tableColumn name="제목 없는 질문 [복잡한 메시지를 간결하고 인상적으로 표현하려 한다]" id="69"/>
    <tableColumn name="제목 없는 질문 [계급 차이가 있어도 구성원의 의견을 존중하며 소통하려 한다]" id="70"/>
    <tableColumn name="제목 없는 질문 [실패의 책임을 회피하기보다 스스로 감당하려는 태도를 가진다]" id="71"/>
    <tableColumn name="제목 없는 질문 [규정 준수가 안전한 임무수행과 직결된다고 인식한다]" id="72"/>
    <tableColumn name="제목 없는 질문 [장비 손실이나 고장 상황에서도 대체 수단을 빠르게 찾는 편이다]" id="73"/>
    <tableColumn name="제목 없는 질문 [불완전한 정보 속에서도 상황을 추론하고 판단 근거를 만들 수 있다]" id="74"/>
    <tableColumn name="제목 없는 질문 [정형화된 보고 방식 외에도 상황에 맞는 표현 방식을 고민한다]" id="75"/>
    <tableColumn name="제목 없는 질문 [스트레스 상황에 놓인 부대원의 심리 상태를 빠르게 파악하려 한다]" id="76"/>
    <tableColumn name="제목 없는 질문 [제한된 시간 내 우선순위를 설정하고 조직을 움직일 수 있다]" id="77"/>
    <tableColumn name="제목 없는 질문 [작은 행정 오류도 전체 임무에 영향을 줄 수 있다고 생각한다]" id="78"/>
  </tableColumns>
  <tableStyleInfo name="설문시트-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YRByEbm3uRjfKbOztBWKgz7ku_rCqmR3/view?usp=drivesdk" TargetMode="External"/><Relationship Id="rId190" Type="http://schemas.openxmlformats.org/officeDocument/2006/relationships/hyperlink" Target="https://drive.google.com/file/d/10LNnk8djTV5wKmmivVVYluez0bUJcXzq/view?usp=drivesdk" TargetMode="External"/><Relationship Id="rId42" Type="http://schemas.openxmlformats.org/officeDocument/2006/relationships/hyperlink" Target="https://drive.google.com/file/d/1iCEcL1l8bPoLn8VpWouV_FHCbYbNntgR/view?usp=drivesdk" TargetMode="External"/><Relationship Id="rId41" Type="http://schemas.openxmlformats.org/officeDocument/2006/relationships/hyperlink" Target="https://drive.google.com/file/d/1fYNn5Zz8uXKoH0n_mVjCxBLuKF8D_wbJ/view?usp=drivesdk" TargetMode="External"/><Relationship Id="rId44" Type="http://schemas.openxmlformats.org/officeDocument/2006/relationships/hyperlink" Target="https://drive.google.com/file/d/1jJW3GzppMY8cxLIhUqM5y3ikbzmFzKBz/view?usp=drivesdk" TargetMode="External"/><Relationship Id="rId194" Type="http://schemas.openxmlformats.org/officeDocument/2006/relationships/hyperlink" Target="https://drive.google.com/file/d/1He8KNGJ1xs2whW_e-8UJ0gTD-bo9jcpQ/view?usp=drivesdk" TargetMode="External"/><Relationship Id="rId43" Type="http://schemas.openxmlformats.org/officeDocument/2006/relationships/hyperlink" Target="https://drive.google.com/file/d/18kRtuVhAq3eiIg1uQONJOB7MlFeKLELp/view?usp=drivesdk" TargetMode="External"/><Relationship Id="rId193" Type="http://schemas.openxmlformats.org/officeDocument/2006/relationships/hyperlink" Target="https://drive.google.com/file/d/1DX7pnwgV5z2jV_NTXaqiMIdtbg_b9NZc/view?usp=drivesdk" TargetMode="External"/><Relationship Id="rId46" Type="http://schemas.openxmlformats.org/officeDocument/2006/relationships/hyperlink" Target="https://drive.google.com/file/d/12zKcB9A19mY-Juqyt-PrZRbZ69Jm4Aa2/view?usp=drivesdk" TargetMode="External"/><Relationship Id="rId192" Type="http://schemas.openxmlformats.org/officeDocument/2006/relationships/hyperlink" Target="https://drive.google.com/file/d/1Ze4Y8mMF8mEHp-6TyakDpaEc6TI7n881/view?usp=drivesdk" TargetMode="External"/><Relationship Id="rId45" Type="http://schemas.openxmlformats.org/officeDocument/2006/relationships/hyperlink" Target="https://drive.google.com/file/d/1AYgYSuTrHSjdKwnzPOhblZhQPpsTc0XI/view?usp=drivesdk" TargetMode="External"/><Relationship Id="rId191" Type="http://schemas.openxmlformats.org/officeDocument/2006/relationships/hyperlink" Target="https://drive.google.com/file/d/18wM0OFz7gV7gpP_P5tufdcHQl-kpcTjf/view?usp=drivesdk" TargetMode="External"/><Relationship Id="rId48" Type="http://schemas.openxmlformats.org/officeDocument/2006/relationships/hyperlink" Target="https://drive.google.com/file/d/146Ca1uAgz86O48-JSvsJn-KEj40yf-uM/view?usp=drivesdk" TargetMode="External"/><Relationship Id="rId187" Type="http://schemas.openxmlformats.org/officeDocument/2006/relationships/hyperlink" Target="https://drive.google.com/file/d/1eGxsntAfIhgox9UGaYqkEOtamqVxSr_m/view?usp=drivesdk" TargetMode="External"/><Relationship Id="rId47" Type="http://schemas.openxmlformats.org/officeDocument/2006/relationships/hyperlink" Target="https://drive.google.com/file/d/1vzqspvPNnc9q1E1VZabp08z7XEVuwVWB/view?usp=drivesdk" TargetMode="External"/><Relationship Id="rId186" Type="http://schemas.openxmlformats.org/officeDocument/2006/relationships/hyperlink" Target="https://drive.google.com/file/d/1YP4cH9gc7qw_TTccd_jpZdMDEn6jb-u2/view?usp=drivesdk" TargetMode="External"/><Relationship Id="rId185" Type="http://schemas.openxmlformats.org/officeDocument/2006/relationships/hyperlink" Target="https://drive.google.com/file/d/1VoOLi6W2Qdjjed2KyET0Ytrq_ccKe7uV/view?usp=drivesdk" TargetMode="External"/><Relationship Id="rId49" Type="http://schemas.openxmlformats.org/officeDocument/2006/relationships/hyperlink" Target="https://drive.google.com/file/d/18pFdGSorSzuwGHovSTXuXQuah26klDMI/view?usp=drivesdk" TargetMode="External"/><Relationship Id="rId184" Type="http://schemas.openxmlformats.org/officeDocument/2006/relationships/hyperlink" Target="https://drive.google.com/file/d/1DAxg-RmZVHrhSBo4rUIbFSw9IsUxcseL/view?usp=drivesdk" TargetMode="External"/><Relationship Id="rId189" Type="http://schemas.openxmlformats.org/officeDocument/2006/relationships/hyperlink" Target="https://drive.google.com/file/d/1x7x5CO400cxQKn07tgBafbL8Ilt2v4iB/view?usp=drivesdk" TargetMode="External"/><Relationship Id="rId188" Type="http://schemas.openxmlformats.org/officeDocument/2006/relationships/hyperlink" Target="https://drive.google.com/file/d/1Ml-Wi1GyNZzIhUznpBp_NbRvhTC8cZ_7/view?usp=drivesdk" TargetMode="External"/><Relationship Id="rId31" Type="http://schemas.openxmlformats.org/officeDocument/2006/relationships/hyperlink" Target="https://drive.google.com/file/d/1TwQLy568Q3xzdfapdaPviFdKCaomjeoX/view?usp=drivesdk" TargetMode="External"/><Relationship Id="rId30" Type="http://schemas.openxmlformats.org/officeDocument/2006/relationships/hyperlink" Target="https://drive.google.com/file/d/1NvaLCat0cTBBCHY5brZsBArx3egcRzXL/view?usp=drivesdk" TargetMode="External"/><Relationship Id="rId33" Type="http://schemas.openxmlformats.org/officeDocument/2006/relationships/hyperlink" Target="https://drive.google.com/file/d/1LdBglW9x-r6KoCjeabkaV60baz98bk4r/view?usp=drivesdk" TargetMode="External"/><Relationship Id="rId183" Type="http://schemas.openxmlformats.org/officeDocument/2006/relationships/hyperlink" Target="https://drive.google.com/file/d/1MH2rZHfOKye1TnKcp3hd4SxhN3gk4Lua/view?usp=drivesdk" TargetMode="External"/><Relationship Id="rId32" Type="http://schemas.openxmlformats.org/officeDocument/2006/relationships/hyperlink" Target="https://drive.google.com/file/d/1J_xXkWguuyqhNOm1bh22tcs9hQGrBeg2/view?usp=drivesdk" TargetMode="External"/><Relationship Id="rId182" Type="http://schemas.openxmlformats.org/officeDocument/2006/relationships/hyperlink" Target="https://drive.google.com/file/d/1K-ogb_YaE-2-nGLXiN4TCcahH6NmPWmz/view?usp=drivesdk" TargetMode="External"/><Relationship Id="rId35" Type="http://schemas.openxmlformats.org/officeDocument/2006/relationships/hyperlink" Target="https://drive.google.com/file/d/1mmn1VYuJ7DBoQI2bbBX3uVklLLK1p40f/view?usp=drivesdk" TargetMode="External"/><Relationship Id="rId181" Type="http://schemas.openxmlformats.org/officeDocument/2006/relationships/hyperlink" Target="https://drive.google.com/file/d/1K2U0gQvuwbV2Bc3q25mP5rTxr7cz4Zz4/view?usp=drivesdk" TargetMode="External"/><Relationship Id="rId34" Type="http://schemas.openxmlformats.org/officeDocument/2006/relationships/hyperlink" Target="https://drive.google.com/file/d/1qtX5J4hmHNkHb6See4T2NIPA48odeJne/view?usp=drivesdk" TargetMode="External"/><Relationship Id="rId180" Type="http://schemas.openxmlformats.org/officeDocument/2006/relationships/hyperlink" Target="https://drive.google.com/file/d/1bk7AvO1NtCbOAIf5_A0bKmNp_I0H9vxQ/view?usp=drivesdk" TargetMode="External"/><Relationship Id="rId37" Type="http://schemas.openxmlformats.org/officeDocument/2006/relationships/hyperlink" Target="https://drive.google.com/file/d/1B_cw2WKu-MEiNkA8ShIp0eeCEi51KSQx/view?usp=drivesdk" TargetMode="External"/><Relationship Id="rId176" Type="http://schemas.openxmlformats.org/officeDocument/2006/relationships/hyperlink" Target="https://drive.google.com/file/d/1ODGe47uhUzc27MY5S5gYOvzyYt3oTbOp/view?usp=drivesdk" TargetMode="External"/><Relationship Id="rId36" Type="http://schemas.openxmlformats.org/officeDocument/2006/relationships/hyperlink" Target="https://drive.google.com/file/d/1R5oaXZE5pJqUYPhwmhyJlYt_kShIYPoC/view?usp=drivesdk" TargetMode="External"/><Relationship Id="rId175" Type="http://schemas.openxmlformats.org/officeDocument/2006/relationships/hyperlink" Target="https://drive.google.com/file/d/1p5s6aHPb79l2FkfsosaEN2T9ffB5Ls3V/view?usp=drivesdk" TargetMode="External"/><Relationship Id="rId39" Type="http://schemas.openxmlformats.org/officeDocument/2006/relationships/hyperlink" Target="https://drive.google.com/file/d/1G-T5pGyNLuYZRrpsIAB0lVdThmOQ5Pdz/view?usp=drivesdk" TargetMode="External"/><Relationship Id="rId174" Type="http://schemas.openxmlformats.org/officeDocument/2006/relationships/hyperlink" Target="https://drive.google.com/file/d/1G_4TzTdn0ILYIPY5-9HwN859SMeUBdrn/view?usp=drivesdk" TargetMode="External"/><Relationship Id="rId38" Type="http://schemas.openxmlformats.org/officeDocument/2006/relationships/hyperlink" Target="https://drive.google.com/file/d/12gbaaOEkPRbbHt9CgGu6Sf2CE2L-YXDj/view?usp=drivesdk" TargetMode="External"/><Relationship Id="rId173" Type="http://schemas.openxmlformats.org/officeDocument/2006/relationships/hyperlink" Target="https://drive.google.com/file/d/1KJkdqiko5zIwPsmkZHReXM6tITTW54VO/view?usp=drivesdk" TargetMode="External"/><Relationship Id="rId179" Type="http://schemas.openxmlformats.org/officeDocument/2006/relationships/hyperlink" Target="https://drive.google.com/file/d/1HZYbloT9345ksVTmw_QDiLFwXgoi6KVt/view?usp=drivesdk" TargetMode="External"/><Relationship Id="rId178" Type="http://schemas.openxmlformats.org/officeDocument/2006/relationships/hyperlink" Target="https://drive.google.com/file/d/1QauktepWn5WeANw-ZCykkQTNFQKNHV__/view?usp=drivesdk" TargetMode="External"/><Relationship Id="rId177" Type="http://schemas.openxmlformats.org/officeDocument/2006/relationships/hyperlink" Target="https://drive.google.com/file/d/1cV9zt7rVRNkVQJ4hylsQ1Stj4DwJxU2Q/view?usp=drivesdk" TargetMode="External"/><Relationship Id="rId20" Type="http://schemas.openxmlformats.org/officeDocument/2006/relationships/hyperlink" Target="https://drive.google.com/file/d/1NtRpzjcjaGEIr4IGqFBkpxzowl0DtJ6z/view?usp=drivesdk" TargetMode="External"/><Relationship Id="rId22" Type="http://schemas.openxmlformats.org/officeDocument/2006/relationships/hyperlink" Target="https://drive.google.com/file/d/1DE4QtkZwpBnKAaW8Ed-cUcGgNeNA6qWp/view?usp=drivesdk" TargetMode="External"/><Relationship Id="rId21" Type="http://schemas.openxmlformats.org/officeDocument/2006/relationships/hyperlink" Target="https://drive.google.com/file/d/1EG1AAZhDO1U1O0sBfGT_iQ_nD5s4TCeW/view?usp=drivesdk" TargetMode="External"/><Relationship Id="rId24" Type="http://schemas.openxmlformats.org/officeDocument/2006/relationships/hyperlink" Target="https://drive.google.com/file/d/14zxTxPQ3MvRRc_1q6HNJ5U4DlsuWNW_h/view?usp=drivesdk" TargetMode="External"/><Relationship Id="rId23" Type="http://schemas.openxmlformats.org/officeDocument/2006/relationships/hyperlink" Target="https://drive.google.com/file/d/19mpL21eoVjRAqB-FaBYRwntS_k2Vb-om/view?usp=drivesdk" TargetMode="External"/><Relationship Id="rId26" Type="http://schemas.openxmlformats.org/officeDocument/2006/relationships/hyperlink" Target="https://drive.google.com/file/d/1YIJ0wZtxKshozQoATUjV6IZDLgxMoxNB/view?usp=drivesdk" TargetMode="External"/><Relationship Id="rId25" Type="http://schemas.openxmlformats.org/officeDocument/2006/relationships/hyperlink" Target="https://drive.google.com/file/d/1GwZ0WUnW2cveojqlO3GJM8853HxpjiBw/view?usp=drivesdk" TargetMode="External"/><Relationship Id="rId28" Type="http://schemas.openxmlformats.org/officeDocument/2006/relationships/hyperlink" Target="https://drive.google.com/file/d/1X0KgZDyD53aIGLnYvXS84Aqd1vONC87a/view?usp=drivesdk" TargetMode="External"/><Relationship Id="rId27" Type="http://schemas.openxmlformats.org/officeDocument/2006/relationships/hyperlink" Target="https://drive.google.com/file/d/1eHVr0Mm4g-8SmMXuaSnj5YxlLyQunRDo/view?usp=drivesdk" TargetMode="External"/><Relationship Id="rId29" Type="http://schemas.openxmlformats.org/officeDocument/2006/relationships/hyperlink" Target="https://drive.google.com/file/d/1_M88-xln3-IFqfZcS2BcAQbpiwWSn0fg/view?usp=drivesdk" TargetMode="External"/><Relationship Id="rId11" Type="http://schemas.openxmlformats.org/officeDocument/2006/relationships/hyperlink" Target="https://drive.google.com/file/d/1tihl1yNwF6prmqhhJp2geT-D4cvfCTMH/view?usp=drivesdk" TargetMode="External"/><Relationship Id="rId10" Type="http://schemas.openxmlformats.org/officeDocument/2006/relationships/hyperlink" Target="https://drive.google.com/file/d/1noC7m_W_Tcqiihiaxr4EWdEm8wtp0AKt/view?usp=drivesdk" TargetMode="External"/><Relationship Id="rId13" Type="http://schemas.openxmlformats.org/officeDocument/2006/relationships/hyperlink" Target="https://drive.google.com/file/d/13tK4fO9NOyBeRqkwrzv2gBrZWlpBHgZo/view?usp=drivesdk" TargetMode="External"/><Relationship Id="rId12" Type="http://schemas.openxmlformats.org/officeDocument/2006/relationships/hyperlink" Target="https://drive.google.com/file/d/14NKD0cZHbATNwnFwiavMZEv6hIn4w7H6/view?usp=drivesdk" TargetMode="External"/><Relationship Id="rId15" Type="http://schemas.openxmlformats.org/officeDocument/2006/relationships/hyperlink" Target="https://drive.google.com/file/d/1zjuWJq9vmOdzqJZevIsiaLd8NCLTkDsg/view?usp=drivesdk" TargetMode="External"/><Relationship Id="rId198" Type="http://schemas.openxmlformats.org/officeDocument/2006/relationships/hyperlink" Target="https://drive.google.com/file/d/1wyRjwOa83zz-Qjp19b2ju2WOmJPlSozw/view?usp=drivesdk" TargetMode="External"/><Relationship Id="rId14" Type="http://schemas.openxmlformats.org/officeDocument/2006/relationships/hyperlink" Target="https://drive.google.com/file/d/1pQ4IrmYM9grvLxeoPGFH2RfySIteJSup/view?usp=drivesdk" TargetMode="External"/><Relationship Id="rId197" Type="http://schemas.openxmlformats.org/officeDocument/2006/relationships/hyperlink" Target="https://drive.google.com/file/d/17untVSVOfd7lGAWFAYA_cOKKj5rb2az_/view?usp=drivesdk" TargetMode="External"/><Relationship Id="rId17" Type="http://schemas.openxmlformats.org/officeDocument/2006/relationships/hyperlink" Target="https://drive.google.com/file/d/1Tsh5v1zU8aaV3uMa6QhZkFJKMZnDrrSq/view?usp=drivesdk" TargetMode="External"/><Relationship Id="rId196" Type="http://schemas.openxmlformats.org/officeDocument/2006/relationships/hyperlink" Target="https://drive.google.com/file/d/18rKD4Xbp_wE920ys5R1a5HuYdHS3Yqdw/view?usp=drivesdk" TargetMode="External"/><Relationship Id="rId16" Type="http://schemas.openxmlformats.org/officeDocument/2006/relationships/hyperlink" Target="https://drive.google.com/file/d/108P3955RebOzhC8_t9VyJxCdebxUlNOR/view?usp=drivesdk" TargetMode="External"/><Relationship Id="rId195" Type="http://schemas.openxmlformats.org/officeDocument/2006/relationships/hyperlink" Target="https://drive.google.com/file/d/1pEI0YAhs7MxQB-LhEE7vHXTA3oEHP4o_/view?usp=drivesdk" TargetMode="External"/><Relationship Id="rId19" Type="http://schemas.openxmlformats.org/officeDocument/2006/relationships/hyperlink" Target="https://drive.google.com/file/d/1wrUIK_BVu3RxQTNqwEnHjM76J4fFQJ--/view?usp=drivesdk" TargetMode="External"/><Relationship Id="rId18" Type="http://schemas.openxmlformats.org/officeDocument/2006/relationships/hyperlink" Target="https://drive.google.com/file/d/136s1UfcENWMfxvFHnoKav6jDj-SSUzdY/view?usp=drivesdk" TargetMode="External"/><Relationship Id="rId199" Type="http://schemas.openxmlformats.org/officeDocument/2006/relationships/hyperlink" Target="https://drive.google.com/file/d/1muEH3qUu_fGl9ld73x9WqRSTtc6NDCSC/view?usp=drivesdk" TargetMode="External"/><Relationship Id="rId84" Type="http://schemas.openxmlformats.org/officeDocument/2006/relationships/hyperlink" Target="https://drive.google.com/file/d/1KhbVRK7dX2oQzPDmqve-Y-D-mxf_zdkQ/view?usp=drivesdk" TargetMode="External"/><Relationship Id="rId83" Type="http://schemas.openxmlformats.org/officeDocument/2006/relationships/hyperlink" Target="https://drive.google.com/file/d/1O21_wMF9bgKcJRyqaS-gQmFLWABVm02n/view?usp=drivesdk" TargetMode="External"/><Relationship Id="rId86" Type="http://schemas.openxmlformats.org/officeDocument/2006/relationships/hyperlink" Target="https://drive.google.com/file/d/1zi12ungjPdVEQjpWhefbJm1q3UGKCXkR/view?usp=drivesdk" TargetMode="External"/><Relationship Id="rId85" Type="http://schemas.openxmlformats.org/officeDocument/2006/relationships/hyperlink" Target="https://drive.google.com/file/d/1okZROikKJa9NlTIcaWbXi_Tmyr8fQvZA/view?usp=drivesdk" TargetMode="External"/><Relationship Id="rId88" Type="http://schemas.openxmlformats.org/officeDocument/2006/relationships/hyperlink" Target="https://drive.google.com/file/d/1zmlz2UO0S07Apz_jPcDt5uht1KlIiJfT/view?usp=drivesdk" TargetMode="External"/><Relationship Id="rId150" Type="http://schemas.openxmlformats.org/officeDocument/2006/relationships/hyperlink" Target="https://drive.google.com/file/d/1uIlPBwxXDtDkSo9QIWKintwuPxrybV-Y/view?usp=drivesdk" TargetMode="External"/><Relationship Id="rId87" Type="http://schemas.openxmlformats.org/officeDocument/2006/relationships/hyperlink" Target="https://drive.google.com/file/d/1CeVO9lT26dsl6j62O-nWMIhNymdj4EM1/view?usp=drivesdk" TargetMode="External"/><Relationship Id="rId89" Type="http://schemas.openxmlformats.org/officeDocument/2006/relationships/hyperlink" Target="https://drive.google.com/file/d/1vO_BtKLFP4glmTDJhWqGm4RMgKZHYbFB/view?usp=drivesdk" TargetMode="External"/><Relationship Id="rId80" Type="http://schemas.openxmlformats.org/officeDocument/2006/relationships/hyperlink" Target="https://drive.google.com/file/d/1U5JeJKpDpYsJArA_UBj9x8LzdSe2ZqgW/view?usp=drivesdk" TargetMode="External"/><Relationship Id="rId82" Type="http://schemas.openxmlformats.org/officeDocument/2006/relationships/hyperlink" Target="https://drive.google.com/file/d/1rnCzVMVA-58IiojmB5xm97LieqvfdmH4/view?usp=drivesdk" TargetMode="External"/><Relationship Id="rId81" Type="http://schemas.openxmlformats.org/officeDocument/2006/relationships/hyperlink" Target="https://drive.google.com/file/d/1bgJ5CtVF0VY7APCpWZkb-XBBBW6tpA_C/view?usp=drivesdk" TargetMode="External"/><Relationship Id="rId1" Type="http://schemas.openxmlformats.org/officeDocument/2006/relationships/hyperlink" Target="https://drive.google.com/file/d/1IV1pwtmfvm5MlG7dlYwDbre6pHeS7PjI/view?usp=drivesdk" TargetMode="External"/><Relationship Id="rId2" Type="http://schemas.openxmlformats.org/officeDocument/2006/relationships/hyperlink" Target="https://drive.google.com/file/d/1-0RO3NrgxfxyRJeHSN-4akdrCnVx0OeA/view?usp=drivesdk" TargetMode="External"/><Relationship Id="rId3" Type="http://schemas.openxmlformats.org/officeDocument/2006/relationships/hyperlink" Target="https://drive.google.com/file/d/1KdBrPVfN8pl2bRjryvrYxC0AF6PKQC7L/view?usp=drivesdk" TargetMode="External"/><Relationship Id="rId149" Type="http://schemas.openxmlformats.org/officeDocument/2006/relationships/hyperlink" Target="https://drive.google.com/file/d/1ySHUzFs0H_S2xbNdYQa20mgn9-qS2VWr/view?usp=drivesdk" TargetMode="External"/><Relationship Id="rId4" Type="http://schemas.openxmlformats.org/officeDocument/2006/relationships/hyperlink" Target="https://drive.google.com/file/d/1W-oWx_3ctKLtW9gVxNH-oyNmgjvhqUrT/view?usp=drivesdk" TargetMode="External"/><Relationship Id="rId148" Type="http://schemas.openxmlformats.org/officeDocument/2006/relationships/hyperlink" Target="https://drive.google.com/file/d/1FGRMtq7evwochlySZfvHq-889SEQ5r8W/view?usp=drivesdk" TargetMode="External"/><Relationship Id="rId9" Type="http://schemas.openxmlformats.org/officeDocument/2006/relationships/hyperlink" Target="https://drive.google.com/file/d/1uIc2jVTPADxfQL9QOXXBCov_l9G5Tl53/view?usp=drivesdk" TargetMode="External"/><Relationship Id="rId143" Type="http://schemas.openxmlformats.org/officeDocument/2006/relationships/hyperlink" Target="https://drive.google.com/file/d/1__o9r8V0tb8OSTD0FJCHa0o_OA5X1xu6/view?usp=drivesdk" TargetMode="External"/><Relationship Id="rId142" Type="http://schemas.openxmlformats.org/officeDocument/2006/relationships/hyperlink" Target="https://drive.google.com/file/d/1BZSMQ8goar2DsjdwH2bn-rJ6V1Vdhuv7/view?usp=drivesdk" TargetMode="External"/><Relationship Id="rId141" Type="http://schemas.openxmlformats.org/officeDocument/2006/relationships/hyperlink" Target="https://drive.google.com/file/d/1tsRpol_TEjQDk2MKlE_o4ojEhD_3DrNY/view?usp=drivesdk" TargetMode="External"/><Relationship Id="rId140" Type="http://schemas.openxmlformats.org/officeDocument/2006/relationships/hyperlink" Target="https://drive.google.com/file/d/1M70taQbwNNViE733IUK7_yFp2W4Cast6/view?usp=drivesdk" TargetMode="External"/><Relationship Id="rId5" Type="http://schemas.openxmlformats.org/officeDocument/2006/relationships/hyperlink" Target="https://drive.google.com/file/d/144wcmvlQy_ITIep6ift_l2hfNl8ySgrB/view?usp=drivesdk" TargetMode="External"/><Relationship Id="rId147" Type="http://schemas.openxmlformats.org/officeDocument/2006/relationships/hyperlink" Target="https://drive.google.com/file/d/18JuNSKmnPPkggO7fotbfwKmC0lvwVbdL/view?usp=drivesdk" TargetMode="External"/><Relationship Id="rId6" Type="http://schemas.openxmlformats.org/officeDocument/2006/relationships/hyperlink" Target="https://drive.google.com/file/d/1u36TW0H2J4_dtDzllqptBT8fuTzYkwhY/view?usp=drivesdk" TargetMode="External"/><Relationship Id="rId146" Type="http://schemas.openxmlformats.org/officeDocument/2006/relationships/hyperlink" Target="https://drive.google.com/file/d/1-zhfkE0KXuT3Gc9tqux7r5bNklNedA9J/view?usp=drivesdk" TargetMode="External"/><Relationship Id="rId7" Type="http://schemas.openxmlformats.org/officeDocument/2006/relationships/hyperlink" Target="https://drive.google.com/file/d/1vo1rB6vwCKjIy1t2I8ljlSMwn-q2P6cv/view?usp=drivesdk" TargetMode="External"/><Relationship Id="rId145" Type="http://schemas.openxmlformats.org/officeDocument/2006/relationships/hyperlink" Target="https://drive.google.com/file/d/1sFKGHX5TD-uVjEF8TEB83tdI3cN0UpIz/view?usp=drivesdk" TargetMode="External"/><Relationship Id="rId8" Type="http://schemas.openxmlformats.org/officeDocument/2006/relationships/hyperlink" Target="https://drive.google.com/file/d/1_kdhskxzCes-CLYCtHw-cueVjOPugmez/view?usp=drivesdk" TargetMode="External"/><Relationship Id="rId144" Type="http://schemas.openxmlformats.org/officeDocument/2006/relationships/hyperlink" Target="https://drive.google.com/file/d/13WfPrypZCICBYT8GRNX2bRVyFS-yLS0l/view?usp=drivesdk" TargetMode="External"/><Relationship Id="rId73" Type="http://schemas.openxmlformats.org/officeDocument/2006/relationships/hyperlink" Target="https://drive.google.com/file/d/13vEkJWzcF9XnjtZEvl24qSgR_24rQ2Vz/view?usp=drivesdk" TargetMode="External"/><Relationship Id="rId72" Type="http://schemas.openxmlformats.org/officeDocument/2006/relationships/hyperlink" Target="https://drive.google.com/file/d/17DV1mmy9mIZKk2mU5aa6eJHZZPW2nkMz/view?usp=drivesdk" TargetMode="External"/><Relationship Id="rId75" Type="http://schemas.openxmlformats.org/officeDocument/2006/relationships/hyperlink" Target="https://drive.google.com/file/d/1e5cMlLhc4EuLtaUT3piF4gdAAPwFf4cs/view?usp=drivesdk" TargetMode="External"/><Relationship Id="rId74" Type="http://schemas.openxmlformats.org/officeDocument/2006/relationships/hyperlink" Target="https://drive.google.com/file/d/1zG9ZS5Mave37UX7vUAppeVJ3sx2mRGEf/view?usp=drivesdk" TargetMode="External"/><Relationship Id="rId77" Type="http://schemas.openxmlformats.org/officeDocument/2006/relationships/hyperlink" Target="https://drive.google.com/file/d/1LOA5Ro0DkYjabz8hWrwdH3oZ71b_OqNH/view?usp=drivesdk" TargetMode="External"/><Relationship Id="rId76" Type="http://schemas.openxmlformats.org/officeDocument/2006/relationships/hyperlink" Target="https://drive.google.com/file/d/1h2dU-tsmwA3ShsvapDQceMRpTAh2jrAd/view?usp=drivesdk" TargetMode="External"/><Relationship Id="rId79" Type="http://schemas.openxmlformats.org/officeDocument/2006/relationships/hyperlink" Target="https://drive.google.com/file/d/1IM_WRIG0h5IOVIINZd73VsPKdnWvEnLU/view?usp=drivesdk" TargetMode="External"/><Relationship Id="rId78" Type="http://schemas.openxmlformats.org/officeDocument/2006/relationships/hyperlink" Target="https://drive.google.com/file/d/1YOrpBQNDOeioE14__R1sjDlQYhcnZ7sT/view?usp=drivesdk" TargetMode="External"/><Relationship Id="rId71" Type="http://schemas.openxmlformats.org/officeDocument/2006/relationships/hyperlink" Target="https://drive.google.com/file/d/1T0x5Xn3xVEuqRDMANe2xL9Pqmg_x_vJY/view?usp=drivesdk" TargetMode="External"/><Relationship Id="rId70" Type="http://schemas.openxmlformats.org/officeDocument/2006/relationships/hyperlink" Target="https://drive.google.com/file/d/1U6JqNzemODipYwsExBa97Rs7KZ3wgPcx/view?usp=drivesdk" TargetMode="External"/><Relationship Id="rId139" Type="http://schemas.openxmlformats.org/officeDocument/2006/relationships/hyperlink" Target="https://drive.google.com/file/d/1d0tPcGSkxL2uGxz56T5Ur6kFvzudk7VT/view?usp=drivesdk" TargetMode="External"/><Relationship Id="rId138" Type="http://schemas.openxmlformats.org/officeDocument/2006/relationships/hyperlink" Target="https://drive.google.com/file/d/1xTHL2Fnfm5ml_9bLFfUFYw6EhHJ9Nwuv/view?usp=drivesdk" TargetMode="External"/><Relationship Id="rId137" Type="http://schemas.openxmlformats.org/officeDocument/2006/relationships/hyperlink" Target="https://drive.google.com/file/d/1oGCqCOsfckCcUFfc6UnEyz-HWm3PWyGE/view?usp=drivesdk" TargetMode="External"/><Relationship Id="rId132" Type="http://schemas.openxmlformats.org/officeDocument/2006/relationships/hyperlink" Target="https://drive.google.com/file/d/1UAdxcNKDoqdvyQ_48JcLEIjo50ZchHDv/view?usp=drivesdk" TargetMode="External"/><Relationship Id="rId131" Type="http://schemas.openxmlformats.org/officeDocument/2006/relationships/hyperlink" Target="https://drive.google.com/file/d/1muyUyNcWvvc02N0xKeswDncJGwjwZL6X/view?usp=drivesdk" TargetMode="External"/><Relationship Id="rId130" Type="http://schemas.openxmlformats.org/officeDocument/2006/relationships/hyperlink" Target="https://drive.google.com/file/d/1dLQesqx6Z4EUFK3zCYKiwSETHr6n2HeY/view?usp=drivesdk" TargetMode="External"/><Relationship Id="rId136" Type="http://schemas.openxmlformats.org/officeDocument/2006/relationships/hyperlink" Target="https://drive.google.com/file/d/15Ksj0RtW6ZKWvNQdWsvdPBCf9FLBtYdz/view?usp=drivesdk" TargetMode="External"/><Relationship Id="rId135" Type="http://schemas.openxmlformats.org/officeDocument/2006/relationships/hyperlink" Target="https://drive.google.com/file/d/1CPMoD8uPCOOePAzGA_vhYvmIJ0FGRL0J/view?usp=drivesdk" TargetMode="External"/><Relationship Id="rId134" Type="http://schemas.openxmlformats.org/officeDocument/2006/relationships/hyperlink" Target="https://drive.google.com/file/d/1XMQRYyH4ALDSYdqWlVDTRjuw_aGqj96-/view?usp=drivesdk" TargetMode="External"/><Relationship Id="rId133" Type="http://schemas.openxmlformats.org/officeDocument/2006/relationships/hyperlink" Target="https://drive.google.com/file/d/1GjPOBJ2BWLjpx5bUGY4CzzXhme0dQVVA/view?usp=drivesdk" TargetMode="External"/><Relationship Id="rId62" Type="http://schemas.openxmlformats.org/officeDocument/2006/relationships/hyperlink" Target="https://drive.google.com/file/d/1a-qlfB9Q7RlxcM7hSpobaGjGsn6PfrfZ/view?usp=drivesdk" TargetMode="External"/><Relationship Id="rId61" Type="http://schemas.openxmlformats.org/officeDocument/2006/relationships/hyperlink" Target="https://drive.google.com/file/d/1RSxLCvHggLmOJsPStzLywW1ui68FmHbb/view?usp=drivesdk" TargetMode="External"/><Relationship Id="rId64" Type="http://schemas.openxmlformats.org/officeDocument/2006/relationships/hyperlink" Target="https://drive.google.com/file/d/1NgENyf3kmRobCJ21gdkQlV70i6vQ1Gv6/view?usp=drivesdk" TargetMode="External"/><Relationship Id="rId63" Type="http://schemas.openxmlformats.org/officeDocument/2006/relationships/hyperlink" Target="https://drive.google.com/file/d/18plHW8TJH0KL2C7EegoM0CKBqbm57h3U/view?usp=drivesdk" TargetMode="External"/><Relationship Id="rId66" Type="http://schemas.openxmlformats.org/officeDocument/2006/relationships/hyperlink" Target="https://drive.google.com/file/d/1sa-UvBeqa_zLP3Lb4_lncmwoWeUg-z6R/view?usp=drivesdk" TargetMode="External"/><Relationship Id="rId172" Type="http://schemas.openxmlformats.org/officeDocument/2006/relationships/hyperlink" Target="https://drive.google.com/file/d/1Y6zpZHh0NSoOA8x9O4101GWA4qDkh77J/view?usp=drivesdk" TargetMode="External"/><Relationship Id="rId65" Type="http://schemas.openxmlformats.org/officeDocument/2006/relationships/hyperlink" Target="https://drive.google.com/file/d/1_I49BfvTNOAgcvMjWx23FDMxdSaKHXmt/view?usp=drivesdk" TargetMode="External"/><Relationship Id="rId171" Type="http://schemas.openxmlformats.org/officeDocument/2006/relationships/hyperlink" Target="https://drive.google.com/file/d/1udm8Q_haGuw0XBM1TgnpTAfGYZo69_8W/view?usp=drivesdk" TargetMode="External"/><Relationship Id="rId68" Type="http://schemas.openxmlformats.org/officeDocument/2006/relationships/hyperlink" Target="https://drive.google.com/file/d/19s7mi7Duwz61AL4_YlI7HQqEZyN4SWUB/view?usp=drivesdk" TargetMode="External"/><Relationship Id="rId170" Type="http://schemas.openxmlformats.org/officeDocument/2006/relationships/hyperlink" Target="https://drive.google.com/file/d/1MFqDqwdAnuJXQleo98lEQM7ynfnObtv8/view?usp=drivesdk" TargetMode="External"/><Relationship Id="rId67" Type="http://schemas.openxmlformats.org/officeDocument/2006/relationships/hyperlink" Target="https://drive.google.com/file/d/1kHzlLmg9ji8WigoYHARLPTFiSUzjc7WG/view?usp=drivesdk" TargetMode="External"/><Relationship Id="rId60" Type="http://schemas.openxmlformats.org/officeDocument/2006/relationships/hyperlink" Target="https://drive.google.com/file/d/1QlQm-tLNa2OQn93rEtrlJ_EgfxGiwVKy/view?usp=drivesdk" TargetMode="External"/><Relationship Id="rId165" Type="http://schemas.openxmlformats.org/officeDocument/2006/relationships/hyperlink" Target="https://drive.google.com/file/d/1Y5IKLTrWOFSOgFW0lMYto_bbZ8B-fsSm/view?usp=drivesdk" TargetMode="External"/><Relationship Id="rId69" Type="http://schemas.openxmlformats.org/officeDocument/2006/relationships/hyperlink" Target="https://drive.google.com/file/d/1Iv062prGGweDPA08M1_YeVL8Ico0cGYm/view?usp=drivesdk" TargetMode="External"/><Relationship Id="rId164" Type="http://schemas.openxmlformats.org/officeDocument/2006/relationships/hyperlink" Target="https://drive.google.com/file/d/1i2hgD_wjzULtKyj-Unhp7UNy_4buZR0g/view?usp=drivesdk" TargetMode="External"/><Relationship Id="rId163" Type="http://schemas.openxmlformats.org/officeDocument/2006/relationships/hyperlink" Target="https://drive.google.com/file/d/1AxG8eCFxGECPDrlGNwd-0qt00SB5lboQ/view?usp=drivesdk" TargetMode="External"/><Relationship Id="rId162" Type="http://schemas.openxmlformats.org/officeDocument/2006/relationships/hyperlink" Target="https://drive.google.com/file/d/1A7OlGGWt1b9SwtXqAy6mh2pbz8OvQTEq/view?usp=drivesdk" TargetMode="External"/><Relationship Id="rId169" Type="http://schemas.openxmlformats.org/officeDocument/2006/relationships/hyperlink" Target="https://drive.google.com/file/d/1GC6Lkbj0x_BmznlkF0ELzthgRwhvS8yX/view?usp=drivesdk" TargetMode="External"/><Relationship Id="rId168" Type="http://schemas.openxmlformats.org/officeDocument/2006/relationships/hyperlink" Target="https://drive.google.com/file/d/1U9KqIRnOhj88tBIkI2TsxoX852wOUp1_/view?usp=drivesdk" TargetMode="External"/><Relationship Id="rId167" Type="http://schemas.openxmlformats.org/officeDocument/2006/relationships/hyperlink" Target="https://drive.google.com/file/d/1bKQjCbHI3fahqGrJxMsqbTCUP2Pw4uCk/view?usp=drivesdk" TargetMode="External"/><Relationship Id="rId166" Type="http://schemas.openxmlformats.org/officeDocument/2006/relationships/hyperlink" Target="https://drive.google.com/file/d/1mkaQYpc43geoqH2iW7eD_JuuLdHKxQ76/view?usp=drivesdk" TargetMode="External"/><Relationship Id="rId51" Type="http://schemas.openxmlformats.org/officeDocument/2006/relationships/hyperlink" Target="https://drive.google.com/file/d/1tRonc2lpIc78vHDUGsRSqgewFgr-f-JH/view?usp=drivesdk" TargetMode="External"/><Relationship Id="rId50" Type="http://schemas.openxmlformats.org/officeDocument/2006/relationships/hyperlink" Target="https://drive.google.com/file/d/13ZhAoMf-slAB8MozQ1OKBZT_G3_h9gUr/view?usp=drivesdk" TargetMode="External"/><Relationship Id="rId53" Type="http://schemas.openxmlformats.org/officeDocument/2006/relationships/hyperlink" Target="https://drive.google.com/file/d/1LlOe1fbRPP1FcVsQGChuyjClTIqm4cTd/view?usp=drivesdk" TargetMode="External"/><Relationship Id="rId52" Type="http://schemas.openxmlformats.org/officeDocument/2006/relationships/hyperlink" Target="https://drive.google.com/file/d/1ctlRUPKa0xbWsj87Bekl9N8V-UfIA0af/view?usp=drivesdk" TargetMode="External"/><Relationship Id="rId55" Type="http://schemas.openxmlformats.org/officeDocument/2006/relationships/hyperlink" Target="https://drive.google.com/file/d/1SkE8yJNgIF51gBrHkJiprvuwkW9Q579M/view?usp=drivesdk" TargetMode="External"/><Relationship Id="rId161" Type="http://schemas.openxmlformats.org/officeDocument/2006/relationships/hyperlink" Target="https://drive.google.com/file/d/1MljGdIYy1AR-GcZqX21aBVVJlgUhSccY/view?usp=drivesdk" TargetMode="External"/><Relationship Id="rId54" Type="http://schemas.openxmlformats.org/officeDocument/2006/relationships/hyperlink" Target="https://drive.google.com/file/d/19WjIiff6r8K8D6DLeKJTDQcAutrwIRLk/view?usp=drivesdk" TargetMode="External"/><Relationship Id="rId160" Type="http://schemas.openxmlformats.org/officeDocument/2006/relationships/hyperlink" Target="https://drive.google.com/file/d/1vQ3pjWXgisKo8GRrCSxd4NZ5yO_bSeP1/view?usp=drivesdk" TargetMode="External"/><Relationship Id="rId57" Type="http://schemas.openxmlformats.org/officeDocument/2006/relationships/hyperlink" Target="https://drive.google.com/file/d/1hvIwi8WI8_DmWFH_vG67btVkEQBFFewG/view?usp=drivesdk" TargetMode="External"/><Relationship Id="rId56" Type="http://schemas.openxmlformats.org/officeDocument/2006/relationships/hyperlink" Target="https://drive.google.com/file/d/140mysuaN_qCB_Sxb0l_h7xKGiEZejRGJ/view?usp=drivesdk" TargetMode="External"/><Relationship Id="rId159" Type="http://schemas.openxmlformats.org/officeDocument/2006/relationships/hyperlink" Target="https://drive.google.com/file/d/1e2U6gzVr75xHJzA4YwP5w8hpTNer9T2G/view?usp=drivesdk" TargetMode="External"/><Relationship Id="rId59" Type="http://schemas.openxmlformats.org/officeDocument/2006/relationships/hyperlink" Target="https://drive.google.com/file/d/1ZDiqYq4W_asD-77RJGz-7e45SKP9vEL6/view?usp=drivesdk" TargetMode="External"/><Relationship Id="rId154" Type="http://schemas.openxmlformats.org/officeDocument/2006/relationships/hyperlink" Target="https://drive.google.com/file/d/14zVUWgidryTn7VhPNeKRk6noeFRlg322/view?usp=drivesdk" TargetMode="External"/><Relationship Id="rId58" Type="http://schemas.openxmlformats.org/officeDocument/2006/relationships/hyperlink" Target="https://drive.google.com/file/d/1SwLQfxD8kY6SVQHlEu9wJ_Nvqz2tHTLt/view?usp=drivesdk" TargetMode="External"/><Relationship Id="rId153" Type="http://schemas.openxmlformats.org/officeDocument/2006/relationships/hyperlink" Target="https://drive.google.com/file/d/1q1iskmRnIUF8Xv7dKVarw8JysXvty07O/view?usp=drivesdk" TargetMode="External"/><Relationship Id="rId152" Type="http://schemas.openxmlformats.org/officeDocument/2006/relationships/hyperlink" Target="https://drive.google.com/file/d/1iIWozJgFX8GAcDKyWwxRQ6JEvJ35Xudw/view?usp=drivesdk" TargetMode="External"/><Relationship Id="rId151" Type="http://schemas.openxmlformats.org/officeDocument/2006/relationships/hyperlink" Target="https://drive.google.com/file/d/1VUNT8MKwDysTPmMJ1WpNz61hUgNSQlqa/view?usp=drivesdk" TargetMode="External"/><Relationship Id="rId158" Type="http://schemas.openxmlformats.org/officeDocument/2006/relationships/hyperlink" Target="https://drive.google.com/file/d/1NcG5SzzkVZq8q2PblN0b2G6ek8xzNKkE/view?usp=drivesdk" TargetMode="External"/><Relationship Id="rId157" Type="http://schemas.openxmlformats.org/officeDocument/2006/relationships/hyperlink" Target="https://drive.google.com/file/d/1hKuuYkQmw-vf4nAvlQ_oM-8ZIIiD6m0o/view?usp=drivesdk" TargetMode="External"/><Relationship Id="rId156" Type="http://schemas.openxmlformats.org/officeDocument/2006/relationships/hyperlink" Target="https://drive.google.com/file/d/1Pm0eUK2EIKVDsdbC2NaXyMeBiRoutsEq/view?usp=drivesdk" TargetMode="External"/><Relationship Id="rId155" Type="http://schemas.openxmlformats.org/officeDocument/2006/relationships/hyperlink" Target="https://drive.google.com/file/d/1lQ5EUIB9qLyV1vZmqNBWxlHACBCSNW_3/view?usp=drivesdk" TargetMode="External"/><Relationship Id="rId107" Type="http://schemas.openxmlformats.org/officeDocument/2006/relationships/hyperlink" Target="https://drive.google.com/file/d/1GiUvbhClWHXKZxKchCklUckqAiD1C2__/view?usp=drivesdk" TargetMode="External"/><Relationship Id="rId106" Type="http://schemas.openxmlformats.org/officeDocument/2006/relationships/hyperlink" Target="https://drive.google.com/file/d/1NGGrKKrPps9lZuQROANVdnFiU4NIfYqM/view?usp=drivesdk" TargetMode="External"/><Relationship Id="rId105" Type="http://schemas.openxmlformats.org/officeDocument/2006/relationships/hyperlink" Target="https://drive.google.com/file/d/1l1Zdjs_CVCgPfHlGE2GloCchloUteciF/view?usp=drivesdk" TargetMode="External"/><Relationship Id="rId104" Type="http://schemas.openxmlformats.org/officeDocument/2006/relationships/hyperlink" Target="https://drive.google.com/file/d/1fOuH1hm4yHUxk_suXS4iARsNujz2jRhD/view?usp=drivesdk" TargetMode="External"/><Relationship Id="rId109" Type="http://schemas.openxmlformats.org/officeDocument/2006/relationships/hyperlink" Target="https://drive.google.com/file/d/178gqxuhYs8KeJ2WT-Y4BEWvV7CX_ZttK/view?usp=drivesdk" TargetMode="External"/><Relationship Id="rId108" Type="http://schemas.openxmlformats.org/officeDocument/2006/relationships/hyperlink" Target="https://drive.google.com/file/d/1chlEt1xdlLYFfBRb4fbGu3SVVAt1lHsP/view?usp=drivesdk" TargetMode="External"/><Relationship Id="rId103" Type="http://schemas.openxmlformats.org/officeDocument/2006/relationships/hyperlink" Target="https://drive.google.com/file/d/1D2Vd026hjrVfzcKNUWY0HJA35w7I9TUA/view?usp=drivesdk" TargetMode="External"/><Relationship Id="rId102" Type="http://schemas.openxmlformats.org/officeDocument/2006/relationships/hyperlink" Target="https://drive.google.com/file/d/14iJojeCeuJ7Sn-ISDMR6c44l3Iz6A0e-/view?usp=drivesdk" TargetMode="External"/><Relationship Id="rId101" Type="http://schemas.openxmlformats.org/officeDocument/2006/relationships/hyperlink" Target="https://drive.google.com/file/d/1w6uw4poVMwo7oiqY6UAE729t17DFA6eB/view?usp=drivesdk" TargetMode="External"/><Relationship Id="rId100" Type="http://schemas.openxmlformats.org/officeDocument/2006/relationships/hyperlink" Target="https://drive.google.com/file/d/1zVxrLMfBxalMNLhXqMQuhi9lJQRRtYFI/view?usp=drivesdk" TargetMode="External"/><Relationship Id="rId212" Type="http://schemas.openxmlformats.org/officeDocument/2006/relationships/drawing" Target="../drawings/drawing1.xml"/><Relationship Id="rId211" Type="http://schemas.openxmlformats.org/officeDocument/2006/relationships/hyperlink" Target="https://drive.google.com/file/d/1zn6cGwSHRpqDgSI8OqN_WyRVO5SGw55F/view?usp=drivesdk" TargetMode="External"/><Relationship Id="rId210" Type="http://schemas.openxmlformats.org/officeDocument/2006/relationships/hyperlink" Target="https://drive.google.com/file/d/1hPwZakCp5SC97W-lWj6eyGbtFiS9wn4X/view?usp=drivesdk" TargetMode="External"/><Relationship Id="rId129" Type="http://schemas.openxmlformats.org/officeDocument/2006/relationships/hyperlink" Target="https://drive.google.com/file/d/1ysp_fBFl-tFuIvAm6fYoIHqCn_vuF32V/view?usp=drivesdk" TargetMode="External"/><Relationship Id="rId128" Type="http://schemas.openxmlformats.org/officeDocument/2006/relationships/hyperlink" Target="https://drive.google.com/file/d/12Z11t0L56pOE8xceimmiLpu3SbdfO0wd/view?usp=drivesdk" TargetMode="External"/><Relationship Id="rId127" Type="http://schemas.openxmlformats.org/officeDocument/2006/relationships/hyperlink" Target="https://drive.google.com/file/d/1wJ7fn2fT4TIj3Cr-i34PwQcwkZTnl_W7/view?usp=drivesdk" TargetMode="External"/><Relationship Id="rId126" Type="http://schemas.openxmlformats.org/officeDocument/2006/relationships/hyperlink" Target="https://drive.google.com/file/d/12u8YhEvkdtaveB3ylzzucyjcSHx0NJqj/view?usp=drivesdk" TargetMode="External"/><Relationship Id="rId121" Type="http://schemas.openxmlformats.org/officeDocument/2006/relationships/hyperlink" Target="https://drive.google.com/file/d/1wlAeN1QFkD1AJvGo_1JCEAdTnLAluCIC/view?usp=drivesdk" TargetMode="External"/><Relationship Id="rId120" Type="http://schemas.openxmlformats.org/officeDocument/2006/relationships/hyperlink" Target="https://drive.google.com/file/d/1dWbyOdUtmn8GwiFhbr2mEZIIuVUFM0oy/view?usp=drivesdk" TargetMode="External"/><Relationship Id="rId125" Type="http://schemas.openxmlformats.org/officeDocument/2006/relationships/hyperlink" Target="https://drive.google.com/file/d/1Igr4kwCGLungR8RpWDmvf3cpqBhB4sa-/view?usp=drivesdk" TargetMode="External"/><Relationship Id="rId124" Type="http://schemas.openxmlformats.org/officeDocument/2006/relationships/hyperlink" Target="https://drive.google.com/file/d/1gjrbtbvkwOvtQDj6Kci5QsJfNbyciMBn/view?usp=drivesdk" TargetMode="External"/><Relationship Id="rId123" Type="http://schemas.openxmlformats.org/officeDocument/2006/relationships/hyperlink" Target="https://drive.google.com/file/d/1v0beUArZ1565TJ8ima9bevRQoJziAlL0/view?usp=drivesdk" TargetMode="External"/><Relationship Id="rId122" Type="http://schemas.openxmlformats.org/officeDocument/2006/relationships/hyperlink" Target="https://drive.google.com/file/d/13l8_fPmFSz3DedsRouOQ9r_0Tm4atuB5/view?usp=drivesdk" TargetMode="External"/><Relationship Id="rId95" Type="http://schemas.openxmlformats.org/officeDocument/2006/relationships/hyperlink" Target="https://drive.google.com/file/d/1XbWZA1RbgCnIyXuyavCCADbkJjLutlwX/view?usp=drivesdk" TargetMode="External"/><Relationship Id="rId94" Type="http://schemas.openxmlformats.org/officeDocument/2006/relationships/hyperlink" Target="https://drive.google.com/file/d/1fpVXc84wDvcGvpXhaDDYqGNDNNOCO7LB/view?usp=drivesdk" TargetMode="External"/><Relationship Id="rId97" Type="http://schemas.openxmlformats.org/officeDocument/2006/relationships/hyperlink" Target="https://drive.google.com/file/d/1sLXi4Emb62BqZxVV7-85I5cXMzzFtEHZ/view?usp=drivesdk" TargetMode="External"/><Relationship Id="rId96" Type="http://schemas.openxmlformats.org/officeDocument/2006/relationships/hyperlink" Target="https://drive.google.com/file/d/1z9ys61YkZLmCfkgOCkZX5Vnv2coqpLHn/view?usp=drivesdk" TargetMode="External"/><Relationship Id="rId99" Type="http://schemas.openxmlformats.org/officeDocument/2006/relationships/hyperlink" Target="https://drive.google.com/file/d/17WCn0GQVJeGRipeuYhJISBNe8A0-VZTV/view?usp=drivesdk" TargetMode="External"/><Relationship Id="rId98" Type="http://schemas.openxmlformats.org/officeDocument/2006/relationships/hyperlink" Target="https://drive.google.com/file/d/1QrpeyKB9ZvOvkW658jxe0FZaT1j2F5rh/view?usp=drivesdk" TargetMode="External"/><Relationship Id="rId91" Type="http://schemas.openxmlformats.org/officeDocument/2006/relationships/hyperlink" Target="https://drive.google.com/file/d/1c3bGLFbsDzRziYIzKSuhIvs4GY0lUWFT/view?usp=drivesdk" TargetMode="External"/><Relationship Id="rId90" Type="http://schemas.openxmlformats.org/officeDocument/2006/relationships/hyperlink" Target="https://drive.google.com/file/d/1k1O72Mhg8U0RWxg8ygrKOtDdVBSEUoWr/view?usp=drivesdk" TargetMode="External"/><Relationship Id="rId93" Type="http://schemas.openxmlformats.org/officeDocument/2006/relationships/hyperlink" Target="https://drive.google.com/file/d/1l7h8GxH8FxHUSFyZ2HnHf5VWapvKSnFU/view?usp=drivesdk" TargetMode="External"/><Relationship Id="rId92" Type="http://schemas.openxmlformats.org/officeDocument/2006/relationships/hyperlink" Target="https://drive.google.com/file/d/1B9g60_qBq1kKdjVEUr_EbuRXyC1G1ptK/view?usp=drivesdk" TargetMode="External"/><Relationship Id="rId118" Type="http://schemas.openxmlformats.org/officeDocument/2006/relationships/hyperlink" Target="https://drive.google.com/file/d/1kAXMeMDTxOWT6GVms3Imw7ntnSEGCPej/view?usp=drivesdk" TargetMode="External"/><Relationship Id="rId117" Type="http://schemas.openxmlformats.org/officeDocument/2006/relationships/hyperlink" Target="https://drive.google.com/file/d/19aemKnWmFgMPaODFlmuNnIQDN5RWSkaq/view?usp=drivesdk" TargetMode="External"/><Relationship Id="rId116" Type="http://schemas.openxmlformats.org/officeDocument/2006/relationships/hyperlink" Target="https://drive.google.com/file/d/1qzLj1H08vpkXGlf8LI-ywYzptEfPDrti/view?usp=drivesdk" TargetMode="External"/><Relationship Id="rId115" Type="http://schemas.openxmlformats.org/officeDocument/2006/relationships/hyperlink" Target="https://drive.google.com/file/d/1pCfrGgci6ssi-QUUilIamnIwznMwWLfT/view?usp=drivesdk" TargetMode="External"/><Relationship Id="rId119" Type="http://schemas.openxmlformats.org/officeDocument/2006/relationships/hyperlink" Target="https://drive.google.com/file/d/18sw6S2YUfXGcHqdkXyjtQweHelVj_MZr/view?usp=drivesdk" TargetMode="External"/><Relationship Id="rId110" Type="http://schemas.openxmlformats.org/officeDocument/2006/relationships/hyperlink" Target="https://drive.google.com/file/d/12037xr9l32oPzxjtGgSnrCxl-EvBFijA/view?usp=drivesdk" TargetMode="External"/><Relationship Id="rId114" Type="http://schemas.openxmlformats.org/officeDocument/2006/relationships/hyperlink" Target="https://drive.google.com/file/d/1T_t7MeU1oMIm0tUIEldectxAXP8R-pR3/view?usp=drivesdk" TargetMode="External"/><Relationship Id="rId113" Type="http://schemas.openxmlformats.org/officeDocument/2006/relationships/hyperlink" Target="https://drive.google.com/file/d/1QwjLwZipM3007yrrixSlOLLIGX3OQF7P/view?usp=drivesdk" TargetMode="External"/><Relationship Id="rId112" Type="http://schemas.openxmlformats.org/officeDocument/2006/relationships/hyperlink" Target="https://drive.google.com/file/d/1I6lJeXlxrih1_AfvG1v0ySaWfK7fl2XA/view?usp=drivesdk" TargetMode="External"/><Relationship Id="rId111" Type="http://schemas.openxmlformats.org/officeDocument/2006/relationships/hyperlink" Target="https://drive.google.com/file/d/1KPNKrQkXY4Tg_yIcXboX0PoHvUYQ6EAy/view?usp=drivesdk" TargetMode="External"/><Relationship Id="rId206" Type="http://schemas.openxmlformats.org/officeDocument/2006/relationships/hyperlink" Target="https://drive.google.com/file/d/1W1nV4FcWsvauu8T9DAYEU7xkkIm8IRS7/view?usp=drivesdk" TargetMode="External"/><Relationship Id="rId205" Type="http://schemas.openxmlformats.org/officeDocument/2006/relationships/hyperlink" Target="https://drive.google.com/file/d/1kwqSfbW9HlTB6_0-jueATDz4B7LovVfk/view?usp=drivesdk" TargetMode="External"/><Relationship Id="rId204" Type="http://schemas.openxmlformats.org/officeDocument/2006/relationships/hyperlink" Target="https://drive.google.com/file/d/1Gq7HohNvTUv6urhlb0jazFXijnPWSnTR/view?usp=drivesdk" TargetMode="External"/><Relationship Id="rId203" Type="http://schemas.openxmlformats.org/officeDocument/2006/relationships/hyperlink" Target="https://drive.google.com/file/d/1gCWbN1VJVLrBht7dVCcmY_9ExQ6gDTvu/view?usp=drivesdk" TargetMode="External"/><Relationship Id="rId209" Type="http://schemas.openxmlformats.org/officeDocument/2006/relationships/hyperlink" Target="https://drive.google.com/file/d/1-BnB6g4ALM7vpZefDbchbWWlejXsn0Dx/view?usp=drivesdk" TargetMode="External"/><Relationship Id="rId208" Type="http://schemas.openxmlformats.org/officeDocument/2006/relationships/hyperlink" Target="https://drive.google.com/file/d/15KvI5t-nFcUKPqOmRr3l-2nVfLNNjpeB/view?usp=drivesdk" TargetMode="External"/><Relationship Id="rId207" Type="http://schemas.openxmlformats.org/officeDocument/2006/relationships/hyperlink" Target="https://drive.google.com/file/d/1BTVIGP660mqfDVZv61yjfFrtfqY8Cciu/view?usp=drivesdk" TargetMode="External"/><Relationship Id="rId202" Type="http://schemas.openxmlformats.org/officeDocument/2006/relationships/hyperlink" Target="https://drive.google.com/file/d/1e0Ab-2xGSgqrAn1WsQ7p0U377YBJD7rZ/view?usp=drivesdk" TargetMode="External"/><Relationship Id="rId201" Type="http://schemas.openxmlformats.org/officeDocument/2006/relationships/hyperlink" Target="https://drive.google.com/file/d/1oc2IMTNfhBcwZGk724WMCn5gdfN6m0ER/view?usp=drivesdk" TargetMode="External"/><Relationship Id="rId200" Type="http://schemas.openxmlformats.org/officeDocument/2006/relationships/hyperlink" Target="https://drive.google.com/file/d/1dfYkX8UFnpsEN2_tGHSu_QqJVu6G0Jiz/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4.63"/>
    <col customWidth="1" min="3" max="3" width="5.75"/>
    <col customWidth="1" min="4" max="4" width="24.88"/>
    <col customWidth="1" min="6" max="6" width="25.75"/>
    <col customWidth="1" min="13" max="35" width="18.88"/>
  </cols>
  <sheetData>
    <row r="1">
      <c r="A1" s="2" t="s">
        <v>1</v>
      </c>
      <c r="B1" s="2" t="s">
        <v>22</v>
      </c>
      <c r="C1" s="2" t="s">
        <v>25</v>
      </c>
      <c r="D1" s="2" t="s">
        <v>27</v>
      </c>
      <c r="E1" s="2" t="s">
        <v>12</v>
      </c>
      <c r="F1" s="2" t="s">
        <v>32</v>
      </c>
      <c r="G1" s="2" t="s">
        <v>35</v>
      </c>
      <c r="H1" s="2" t="s">
        <v>37</v>
      </c>
      <c r="I1" s="2" t="s">
        <v>40</v>
      </c>
      <c r="J1" s="2" t="s">
        <v>41</v>
      </c>
      <c r="K1" s="2" t="s">
        <v>42</v>
      </c>
      <c r="L1" s="5" t="s">
        <v>43</v>
      </c>
      <c r="M1" s="7" t="s">
        <v>52</v>
      </c>
      <c r="N1" s="7" t="s">
        <v>60</v>
      </c>
      <c r="O1" s="7" t="s">
        <v>62</v>
      </c>
      <c r="P1" s="7" t="s">
        <v>63</v>
      </c>
      <c r="Q1" s="7" t="s">
        <v>64</v>
      </c>
      <c r="R1" s="7" t="s">
        <v>65</v>
      </c>
      <c r="S1" s="7" t="s">
        <v>67</v>
      </c>
      <c r="T1" s="7" t="s">
        <v>68</v>
      </c>
      <c r="U1" s="7" t="s">
        <v>69</v>
      </c>
      <c r="V1" s="7" t="s">
        <v>70</v>
      </c>
      <c r="W1" s="7" t="s">
        <v>71</v>
      </c>
      <c r="X1" s="7" t="s">
        <v>72</v>
      </c>
      <c r="Y1" s="7" t="s">
        <v>73</v>
      </c>
      <c r="Z1" s="7" t="s">
        <v>74</v>
      </c>
      <c r="AA1" s="7" t="s">
        <v>75</v>
      </c>
      <c r="AB1" s="7" t="s">
        <v>76</v>
      </c>
      <c r="AC1" s="7" t="s">
        <v>77</v>
      </c>
      <c r="AD1" s="7" t="s">
        <v>78</v>
      </c>
      <c r="AE1" s="7" t="s">
        <v>79</v>
      </c>
      <c r="AF1" s="7" t="s">
        <v>80</v>
      </c>
      <c r="AG1" s="7" t="s">
        <v>81</v>
      </c>
      <c r="AH1" s="9" t="s">
        <v>82</v>
      </c>
      <c r="AI1" s="7" t="s">
        <v>83</v>
      </c>
    </row>
    <row r="2">
      <c r="A2" s="10" t="str">
        <f t="array" ref="A2:A248">'설문시트'!C2:C610</f>
        <v>최종혁</v>
      </c>
      <c r="B2" s="10">
        <f t="array" ref="B2:B248">'설문시트'!D2:D610</f>
        <v>2025</v>
      </c>
      <c r="C2" s="10" t="str">
        <f t="array" ref="C2:C248">'설문시트'!E2:E610</f>
        <v>Intp</v>
      </c>
      <c r="D2" s="10" t="str">
        <f t="array" ref="D2:D248">'설문시트'!F2:F610</f>
        <v>jonghyeokchoi77@gmail.com</v>
      </c>
      <c r="E2" s="10" t="str">
        <f t="array" ref="E2:E610">IF(LEN(G2:G610), BYROW(G2:L610, LAMBDA(row, INDEX(G1:L1, MATCH(MAX(row), row, 0)))), "")</f>
        <v>#VALUE!</v>
      </c>
      <c r="F2" s="10" t="str">
        <f t="array" ref="F2:F610">IF(E2:E610="", , IFERROR(VLOOKUP(E2:E610, '분석자료'!$A1:$B7, 2, FALSE),""))</f>
        <v>#VALUE!</v>
      </c>
      <c r="G2" s="12">
        <f t="array" ref="G2:G248">IF('설문시트'!G2:G610="", "", ('설문시트'!G2:G610)+('설문시트'!M2:M610)+('설문시트'!S2:S610)+('설문시트'!Y2:Y610)+('설문시트'!AE2:AE610)+('설문시트'!AK2:AK610)+('설문시트'!AQ2:AQ610)+('설문시트'!AW2:AW610)+('설문시트'!BC2:BC610)+('설문시트'!BI2:BI610)+('설문시트'!BO2:BO610)+('설문시트'!BU2:BU610))</f>
        <v>60</v>
      </c>
      <c r="H2" s="12">
        <f t="array" ref="H2:H248">IF('설문시트'!H2:H610="", "", ('설문시트'!H2:H610)+('설문시트'!N2:N610)+('설문시트'!T2:T610)+('설문시트'!Z2:Z610)+('설문시트'!AF2:AF610)+('설문시트'!AL2:AL610)+('설문시트'!AR2:AR610)+('설문시트'!AX2:AX610)+('설문시트'!BD2:BD610)+('설문시트'!BJ2:BJ610)+('설문시트'!BP2:BP610)+('설문시트'!BV2:BV610))</f>
        <v>60</v>
      </c>
      <c r="I2" s="12" t="str">
        <f t="array" ref="I2:I248">IF('설문시트'!I2:I610="", "", ('설문시트'!I2:I610)+('설문시트'!O2:O610)+('설문시트'!U2:U610)+('설문시트'!AA2:AA610)+('설문시트'!AG2:AG610)+('설문시트'!AM2:AM610)+('설문시트'!AS2:AS610)+('설문시트'!AY2:AY610)+('설문시트'!BE2:BE610)+('설문시트'!BK2:BK610)+('설문시트'!BQ2:BQ610)+('설문시트'!BW2:BW610))</f>
        <v>#VALUE!</v>
      </c>
      <c r="J2" s="12">
        <f t="array" ref="J2:J248">IF('설문시트'!J2:J610="", "", ('설문시트'!J2:J610)+('설문시트'!P2:P610)+('설문시트'!V2:V610)+('설문시트'!AB2:AB610)+('설문시트'!AH2:AH610)+('설문시트'!AN2:AN610)+('설문시트'!AT2:AT610)+('설문시트'!AZ2:AZ610)+('설문시트'!BF2:BF610)+('설문시트'!BL2:BL610)+('설문시트'!BR2:BR610)+('설문시트'!BX2:BX610))</f>
        <v>60</v>
      </c>
      <c r="K2" s="12">
        <f t="array" ref="K2:K248">IF('설문시트'!K2:K610="", "", ('설문시트'!K2:K610)+('설문시트'!Q2:Q610)+('설문시트'!W2:W610)+('설문시트'!AC2:AC610)+('설문시트'!AI2:AI610)+('설문시트'!AO2:AO610)+('설문시트'!AU2:AU610)+('설문시트'!BA2:BA610)+('설문시트'!BG2:BG610)+('설문시트'!BM2:BM610)+('설문시트'!BS2:BS610)+('설문시트'!BY2:BY610))</f>
        <v>60</v>
      </c>
      <c r="L2" s="12">
        <f t="array" ref="L2:L248">IF('설문시트'!L2:L610="", "", ('설문시트'!L2:L610)+('설문시트'!R2:R610)+('설문시트'!X2:X610)+('설문시트'!AD2:AD610)+('설문시트'!AJ2:AJ610)+('설문시트'!AP2:AP610)+('설문시트'!AV2:AV610)+('설문시트'!BB2:BB610)+('설문시트'!BH2:BH610)+('설문시트'!BN2:BN610)+('설문시트'!BT2:BT610)+('설문시트'!BZ2:BZ610))</f>
        <v>60</v>
      </c>
      <c r="U2" s="1" t="s">
        <v>169</v>
      </c>
      <c r="V2" s="15" t="s">
        <v>170</v>
      </c>
      <c r="W2" s="16" t="str">
        <f>HYPERLINK("https://drive.google.com/file/d/1IV1pwtmfvm5MlG7dlYwDbre6pHeS7PjI/view?usp=drivesdk","최종혁_진로적성검사_2026")</f>
        <v>최종혁_진로적성검사_2026</v>
      </c>
      <c r="X2" s="1" t="s">
        <v>172</v>
      </c>
      <c r="AA2" s="1" t="s">
        <v>174</v>
      </c>
      <c r="AB2" s="17">
        <v>46247.56934502315</v>
      </c>
      <c r="AC2" s="1" t="s">
        <v>176</v>
      </c>
      <c r="AD2" s="17"/>
      <c r="AE2" s="17"/>
      <c r="AF2" s="17"/>
      <c r="AG2" s="1" t="s">
        <v>177</v>
      </c>
      <c r="AH2" s="18"/>
      <c r="AI2" s="17"/>
    </row>
    <row r="3">
      <c r="A3" s="10" t="s">
        <v>167</v>
      </c>
      <c r="B3" s="10">
        <v>2020.0</v>
      </c>
      <c r="C3" s="10" t="s">
        <v>168</v>
      </c>
      <c r="D3" s="10" t="s">
        <v>165</v>
      </c>
      <c r="E3" s="10" t="s">
        <v>35</v>
      </c>
      <c r="F3" s="10" t="s">
        <v>45</v>
      </c>
      <c r="G3" s="10">
        <v>35.0</v>
      </c>
      <c r="H3" s="10">
        <v>34.0</v>
      </c>
      <c r="I3" s="10">
        <v>31.0</v>
      </c>
      <c r="J3" s="10">
        <v>34.0</v>
      </c>
      <c r="K3" s="10">
        <v>30.0</v>
      </c>
      <c r="L3" s="10">
        <v>34.0</v>
      </c>
      <c r="U3" s="1" t="s">
        <v>178</v>
      </c>
      <c r="V3" s="15" t="s">
        <v>179</v>
      </c>
      <c r="W3" s="16" t="str">
        <f>HYPERLINK("https://drive.google.com/file/d/1-0RO3NrgxfxyRJeHSN-4akdrCnVx0OeA/view?usp=drivesdk","너ㅓㅁ_진로적성검사_2026")</f>
        <v>너ㅓㅁ_진로적성검사_2026</v>
      </c>
      <c r="X3" s="1" t="s">
        <v>180</v>
      </c>
      <c r="AA3" s="1" t="s">
        <v>174</v>
      </c>
      <c r="AB3" s="17">
        <v>46247.58564796296</v>
      </c>
      <c r="AC3" s="17"/>
      <c r="AD3" s="17"/>
      <c r="AE3" s="17"/>
      <c r="AF3" s="17"/>
      <c r="AG3" s="17"/>
      <c r="AH3" s="18"/>
      <c r="AI3" s="17"/>
    </row>
    <row r="4">
      <c r="A4" s="10" t="s">
        <v>171</v>
      </c>
      <c r="B4" s="10">
        <v>2023.0</v>
      </c>
      <c r="C4" s="10" t="s">
        <v>173</v>
      </c>
      <c r="D4" s="10" t="s">
        <v>175</v>
      </c>
      <c r="E4" s="10" t="s">
        <v>42</v>
      </c>
      <c r="F4" s="10" t="s">
        <v>61</v>
      </c>
      <c r="G4" s="10">
        <v>29.0</v>
      </c>
      <c r="H4" s="10">
        <v>28.0</v>
      </c>
      <c r="I4" s="10">
        <v>22.0</v>
      </c>
      <c r="J4" s="10">
        <v>38.0</v>
      </c>
      <c r="K4" s="10">
        <v>43.0</v>
      </c>
      <c r="L4" s="10">
        <v>34.0</v>
      </c>
      <c r="U4" s="1" t="s">
        <v>181</v>
      </c>
      <c r="V4" s="15" t="s">
        <v>182</v>
      </c>
      <c r="W4" s="16" t="str">
        <f>HYPERLINK("https://drive.google.com/file/d/1KdBrPVfN8pl2bRjryvrYxC0AF6PKQC7L/view?usp=drivesdk","김민석_진로적성검사_2026")</f>
        <v>김민석_진로적성검사_2026</v>
      </c>
      <c r="X4" s="1" t="s">
        <v>183</v>
      </c>
      <c r="AA4" s="1" t="s">
        <v>174</v>
      </c>
      <c r="AB4" s="17">
        <v>46247.58567354167</v>
      </c>
      <c r="AC4" s="17"/>
      <c r="AD4" s="17"/>
      <c r="AE4" s="17"/>
      <c r="AF4" s="17"/>
      <c r="AG4" s="17"/>
      <c r="AH4" s="18"/>
      <c r="AI4" s="17"/>
    </row>
    <row r="5">
      <c r="A5" s="10" t="s">
        <v>184</v>
      </c>
      <c r="B5" s="10">
        <v>2020.0</v>
      </c>
      <c r="C5" s="10" t="s">
        <v>185</v>
      </c>
      <c r="D5" s="10" t="s">
        <v>165</v>
      </c>
      <c r="E5" s="10" t="s">
        <v>40</v>
      </c>
      <c r="F5" s="10" t="s">
        <v>58</v>
      </c>
      <c r="G5" s="10">
        <v>35.0</v>
      </c>
      <c r="H5" s="10">
        <v>35.0</v>
      </c>
      <c r="I5" s="10">
        <v>36.0</v>
      </c>
      <c r="J5" s="10">
        <v>34.0</v>
      </c>
      <c r="K5" s="10">
        <v>32.0</v>
      </c>
      <c r="L5" s="10">
        <v>29.0</v>
      </c>
      <c r="U5" s="1" t="s">
        <v>186</v>
      </c>
      <c r="V5" s="15" t="s">
        <v>187</v>
      </c>
      <c r="W5" s="16" t="str">
        <f>HYPERLINK("https://drive.google.com/file/d/1W-oWx_3ctKLtW9gVxNH-oyNmgjvhqUrT/view?usp=drivesdk","Jejsj_진로적성검사_2026")</f>
        <v>Jejsj_진로적성검사_2026</v>
      </c>
      <c r="X5" s="1" t="s">
        <v>183</v>
      </c>
      <c r="AA5" s="1" t="s">
        <v>174</v>
      </c>
      <c r="AB5" s="17">
        <v>46247.58569383102</v>
      </c>
      <c r="AC5" s="17"/>
      <c r="AD5" s="17"/>
      <c r="AE5" s="17"/>
      <c r="AF5" s="17"/>
      <c r="AG5" s="17"/>
      <c r="AH5" s="18"/>
      <c r="AI5" s="17"/>
    </row>
    <row r="6">
      <c r="A6" s="10" t="s">
        <v>188</v>
      </c>
      <c r="B6" s="10">
        <v>2025.0</v>
      </c>
      <c r="C6" s="10" t="s">
        <v>189</v>
      </c>
      <c r="D6" s="10" t="s">
        <v>190</v>
      </c>
      <c r="E6" s="10" t="s">
        <v>35</v>
      </c>
      <c r="F6" s="10" t="s">
        <v>45</v>
      </c>
      <c r="G6" s="10">
        <v>32.0</v>
      </c>
      <c r="H6" s="10">
        <v>21.0</v>
      </c>
      <c r="I6" s="10">
        <v>26.0</v>
      </c>
      <c r="J6" s="10">
        <v>28.0</v>
      </c>
      <c r="K6" s="10">
        <v>29.0</v>
      </c>
      <c r="L6" s="10">
        <v>22.0</v>
      </c>
      <c r="U6" s="1" t="s">
        <v>191</v>
      </c>
      <c r="V6" s="15" t="s">
        <v>192</v>
      </c>
      <c r="W6" s="16" t="str">
        <f>HYPERLINK("https://drive.google.com/file/d/144wcmvlQy_ITIep6ift_l2hfNl8ySgrB/view?usp=drivesdk","80 황우진_진로적성검사_2026")</f>
        <v>80 황우진_진로적성검사_2026</v>
      </c>
      <c r="X6" s="1" t="s">
        <v>183</v>
      </c>
      <c r="AA6" s="1" t="s">
        <v>174</v>
      </c>
      <c r="AB6" s="17">
        <v>46247.58571752315</v>
      </c>
      <c r="AC6" s="17"/>
      <c r="AD6" s="17"/>
      <c r="AE6" s="17"/>
      <c r="AF6" s="17"/>
      <c r="AG6" s="17"/>
      <c r="AH6" s="18"/>
      <c r="AI6" s="17"/>
    </row>
    <row r="7">
      <c r="A7" s="10" t="s">
        <v>193</v>
      </c>
      <c r="B7" s="10">
        <v>2020.0</v>
      </c>
      <c r="C7" s="10" t="s">
        <v>194</v>
      </c>
      <c r="D7" s="10" t="s">
        <v>165</v>
      </c>
      <c r="E7" s="10" t="s">
        <v>37</v>
      </c>
      <c r="F7" s="10" t="s">
        <v>50</v>
      </c>
      <c r="G7" s="10">
        <v>30.0</v>
      </c>
      <c r="H7" s="10">
        <v>35.0</v>
      </c>
      <c r="I7" s="10">
        <v>33.0</v>
      </c>
      <c r="J7" s="10">
        <v>33.0</v>
      </c>
      <c r="K7" s="10">
        <v>35.0</v>
      </c>
      <c r="L7" s="10">
        <v>32.0</v>
      </c>
      <c r="U7" s="1" t="s">
        <v>195</v>
      </c>
      <c r="V7" s="15" t="s">
        <v>196</v>
      </c>
      <c r="W7" s="16" t="str">
        <f>HYPERLINK("https://drive.google.com/file/d/1u36TW0H2J4_dtDzllqptBT8fuTzYkwhY/view?usp=drivesdk","Bdhdh_진로적성검사_2026")</f>
        <v>Bdhdh_진로적성검사_2026</v>
      </c>
      <c r="X7" s="1" t="s">
        <v>197</v>
      </c>
      <c r="AA7" s="1" t="s">
        <v>174</v>
      </c>
      <c r="AB7" s="17">
        <v>46247.598683564815</v>
      </c>
      <c r="AC7" s="17"/>
      <c r="AD7" s="17"/>
      <c r="AE7" s="17"/>
      <c r="AF7" s="17"/>
      <c r="AG7" s="17"/>
      <c r="AH7" s="18"/>
      <c r="AI7" s="17"/>
    </row>
    <row r="8">
      <c r="A8" s="10" t="s">
        <v>198</v>
      </c>
      <c r="B8" s="10">
        <v>2020.0</v>
      </c>
      <c r="C8" s="10" t="s">
        <v>199</v>
      </c>
      <c r="D8" s="10" t="s">
        <v>165</v>
      </c>
      <c r="E8" s="10" t="s">
        <v>41</v>
      </c>
      <c r="F8" s="10" t="s">
        <v>59</v>
      </c>
      <c r="G8" s="10">
        <v>38.0</v>
      </c>
      <c r="H8" s="10">
        <v>31.0</v>
      </c>
      <c r="I8" s="10">
        <v>36.0</v>
      </c>
      <c r="J8" s="10">
        <v>39.0</v>
      </c>
      <c r="K8" s="10">
        <v>31.0</v>
      </c>
      <c r="L8" s="10">
        <v>38.0</v>
      </c>
      <c r="U8" s="1" t="s">
        <v>200</v>
      </c>
      <c r="V8" s="15" t="s">
        <v>201</v>
      </c>
      <c r="W8" s="16" t="str">
        <f>HYPERLINK("https://drive.google.com/file/d/1vo1rB6vwCKjIy1t2I8ljlSMwn-q2P6cv/view?usp=drivesdk","Shej_진로적성검사_2026")</f>
        <v>Shej_진로적성검사_2026</v>
      </c>
      <c r="X8" s="1" t="s">
        <v>202</v>
      </c>
      <c r="AA8" s="1" t="s">
        <v>174</v>
      </c>
      <c r="AB8" s="17">
        <v>46247.60384434028</v>
      </c>
      <c r="AC8" s="17"/>
      <c r="AD8" s="17"/>
      <c r="AE8" s="17"/>
      <c r="AF8" s="17"/>
      <c r="AG8" s="17"/>
      <c r="AH8" s="18"/>
      <c r="AI8" s="17"/>
    </row>
    <row r="9">
      <c r="A9" s="10" t="s">
        <v>203</v>
      </c>
      <c r="B9" s="10">
        <v>2020.0</v>
      </c>
      <c r="C9" s="10" t="s">
        <v>194</v>
      </c>
      <c r="D9" s="10" t="s">
        <v>165</v>
      </c>
      <c r="E9" s="10" t="s">
        <v>40</v>
      </c>
      <c r="F9" s="10" t="s">
        <v>58</v>
      </c>
      <c r="G9" s="10">
        <v>28.0</v>
      </c>
      <c r="H9" s="10">
        <v>32.0</v>
      </c>
      <c r="I9" s="10">
        <v>33.0</v>
      </c>
      <c r="J9" s="10">
        <v>33.0</v>
      </c>
      <c r="K9" s="10">
        <v>29.0</v>
      </c>
      <c r="L9" s="10">
        <v>30.0</v>
      </c>
      <c r="U9" s="1" t="s">
        <v>204</v>
      </c>
      <c r="V9" s="15" t="s">
        <v>205</v>
      </c>
      <c r="W9" s="16" t="str">
        <f>HYPERLINK("https://drive.google.com/file/d/1_kdhskxzCes-CLYCtHw-cueVjOPugmez/view?usp=drivesdk","Llll_진로적성검사_2026")</f>
        <v>Llll_진로적성검사_2026</v>
      </c>
      <c r="X9" s="1" t="s">
        <v>206</v>
      </c>
      <c r="AA9" s="1" t="s">
        <v>174</v>
      </c>
      <c r="AB9" s="17">
        <v>46247.60386863426</v>
      </c>
      <c r="AC9" s="17"/>
      <c r="AD9" s="17"/>
      <c r="AE9" s="17"/>
      <c r="AF9" s="17"/>
      <c r="AG9" s="17"/>
      <c r="AH9" s="18"/>
      <c r="AI9" s="17"/>
    </row>
    <row r="10">
      <c r="A10" s="10" t="s">
        <v>207</v>
      </c>
      <c r="B10" s="10">
        <v>1.0</v>
      </c>
      <c r="C10" s="10">
        <v>1.0</v>
      </c>
      <c r="D10" s="10" t="s">
        <v>208</v>
      </c>
      <c r="E10" s="10" t="s">
        <v>35</v>
      </c>
      <c r="F10" s="10" t="s">
        <v>45</v>
      </c>
      <c r="G10" s="10">
        <v>60.0</v>
      </c>
      <c r="H10" s="10">
        <v>60.0</v>
      </c>
      <c r="I10" s="10">
        <v>60.0</v>
      </c>
      <c r="J10" s="10">
        <v>60.0</v>
      </c>
      <c r="K10" s="10">
        <v>60.0</v>
      </c>
      <c r="L10" s="10">
        <v>60.0</v>
      </c>
      <c r="U10" s="1" t="s">
        <v>209</v>
      </c>
      <c r="V10" s="15" t="s">
        <v>210</v>
      </c>
      <c r="W10" s="16" t="str">
        <f>HYPERLINK("https://drive.google.com/file/d/1uIc2jVTPADxfQL9QOXXBCov_l9G5Tl53/view?usp=drivesdk","테스트_진로적성검사_2026")</f>
        <v>테스트_진로적성검사_2026</v>
      </c>
      <c r="X10" s="1" t="s">
        <v>211</v>
      </c>
      <c r="AA10" s="1" t="s">
        <v>174</v>
      </c>
      <c r="AB10" s="17">
        <v>46247.618056481486</v>
      </c>
      <c r="AC10" s="17"/>
      <c r="AD10" s="17"/>
      <c r="AE10" s="17"/>
      <c r="AF10" s="17"/>
      <c r="AG10" s="17"/>
      <c r="AH10" s="18"/>
      <c r="AI10" s="17"/>
    </row>
    <row r="11">
      <c r="A11" s="10" t="s">
        <v>212</v>
      </c>
      <c r="B11" s="10">
        <v>2026.0</v>
      </c>
      <c r="C11" s="10" t="s">
        <v>213</v>
      </c>
      <c r="D11" s="10" t="s">
        <v>214</v>
      </c>
      <c r="E11" s="10" t="s">
        <v>40</v>
      </c>
      <c r="F11" s="10" t="s">
        <v>58</v>
      </c>
      <c r="G11" s="10">
        <v>47.0</v>
      </c>
      <c r="H11" s="10">
        <v>59.0</v>
      </c>
      <c r="I11" s="10">
        <v>60.0</v>
      </c>
      <c r="J11" s="10">
        <v>60.0</v>
      </c>
      <c r="K11" s="10">
        <v>60.0</v>
      </c>
      <c r="L11" s="10">
        <v>60.0</v>
      </c>
      <c r="U11" s="1" t="s">
        <v>215</v>
      </c>
      <c r="V11" s="15" t="s">
        <v>216</v>
      </c>
      <c r="W11" s="16" t="str">
        <f>HYPERLINK("https://drive.google.com/file/d/1noC7m_W_Tcqiihiaxr4EWdEm8wtp0AKt/view?usp=drivesdk","이상준_진로적성검사_2026")</f>
        <v>이상준_진로적성검사_2026</v>
      </c>
      <c r="X11" s="1" t="s">
        <v>217</v>
      </c>
      <c r="AA11" s="1" t="s">
        <v>174</v>
      </c>
      <c r="AB11" s="17">
        <v>46247.61923297454</v>
      </c>
      <c r="AC11" s="17"/>
      <c r="AD11" s="17"/>
      <c r="AE11" s="17"/>
      <c r="AF11" s="17"/>
      <c r="AG11" s="17"/>
      <c r="AH11" s="18"/>
      <c r="AI11" s="17"/>
    </row>
    <row r="12">
      <c r="A12" s="10" t="s">
        <v>218</v>
      </c>
      <c r="B12" s="10">
        <v>2026.0</v>
      </c>
      <c r="C12" s="10" t="s">
        <v>219</v>
      </c>
      <c r="D12" s="10" t="s">
        <v>220</v>
      </c>
      <c r="E12" s="10" t="s">
        <v>41</v>
      </c>
      <c r="F12" s="10" t="s">
        <v>59</v>
      </c>
      <c r="G12" s="10">
        <v>28.0</v>
      </c>
      <c r="H12" s="10">
        <v>14.0</v>
      </c>
      <c r="I12" s="10">
        <v>17.0</v>
      </c>
      <c r="J12" s="10">
        <v>54.0</v>
      </c>
      <c r="K12" s="10">
        <v>47.0</v>
      </c>
      <c r="L12" s="10">
        <v>46.0</v>
      </c>
      <c r="U12" s="1" t="s">
        <v>221</v>
      </c>
      <c r="V12" s="15" t="s">
        <v>222</v>
      </c>
      <c r="W12" s="16" t="str">
        <f>HYPERLINK("https://drive.google.com/file/d/1tihl1yNwF6prmqhhJp2geT-D4cvfCTMH/view?usp=drivesdk","강재우_진로적성검사_2026")</f>
        <v>강재우_진로적성검사_2026</v>
      </c>
      <c r="X12" s="1" t="s">
        <v>223</v>
      </c>
      <c r="AA12" s="1" t="s">
        <v>174</v>
      </c>
      <c r="AB12" s="17">
        <v>46247.63624278935</v>
      </c>
      <c r="AC12" s="17"/>
      <c r="AD12" s="17"/>
      <c r="AE12" s="17"/>
      <c r="AF12" s="17"/>
      <c r="AG12" s="17"/>
      <c r="AH12" s="18"/>
      <c r="AI12" s="17"/>
    </row>
    <row r="13">
      <c r="A13" s="10" t="s">
        <v>224</v>
      </c>
      <c r="B13" s="10">
        <v>2006.0</v>
      </c>
      <c r="C13" s="10" t="s">
        <v>225</v>
      </c>
      <c r="D13" s="10" t="s">
        <v>226</v>
      </c>
      <c r="E13" s="10" t="s">
        <v>35</v>
      </c>
      <c r="F13" s="10" t="s">
        <v>45</v>
      </c>
      <c r="G13" s="10">
        <v>12.0</v>
      </c>
      <c r="H13" s="10">
        <v>12.0</v>
      </c>
      <c r="I13" s="10">
        <v>12.0</v>
      </c>
      <c r="J13" s="10">
        <v>12.0</v>
      </c>
      <c r="K13" s="10">
        <v>12.0</v>
      </c>
      <c r="L13" s="10">
        <v>12.0</v>
      </c>
      <c r="U13" s="1" t="s">
        <v>227</v>
      </c>
      <c r="V13" s="15" t="s">
        <v>228</v>
      </c>
      <c r="W13" s="16" t="str">
        <f>HYPERLINK("https://drive.google.com/file/d/14NKD0cZHbATNwnFwiavMZEv6hIn4w7H6/view?usp=drivesdk","이재완_진로적성검사_2026")</f>
        <v>이재완_진로적성검사_2026</v>
      </c>
      <c r="X13" s="1" t="s">
        <v>229</v>
      </c>
      <c r="AA13" s="1" t="s">
        <v>174</v>
      </c>
      <c r="AB13" s="17">
        <v>46247.63747724537</v>
      </c>
      <c r="AC13" s="17"/>
      <c r="AD13" s="17"/>
      <c r="AE13" s="17"/>
      <c r="AF13" s="17"/>
      <c r="AG13" s="17"/>
      <c r="AH13" s="18"/>
      <c r="AI13" s="17"/>
    </row>
    <row r="14">
      <c r="A14" s="10" t="s">
        <v>163</v>
      </c>
      <c r="B14" s="10">
        <v>2025.0</v>
      </c>
      <c r="C14" s="10" t="s">
        <v>164</v>
      </c>
      <c r="D14" s="10" t="s">
        <v>230</v>
      </c>
      <c r="E14" s="10" t="s">
        <v>37</v>
      </c>
      <c r="F14" s="10" t="s">
        <v>50</v>
      </c>
      <c r="G14" s="10">
        <v>34.0</v>
      </c>
      <c r="H14" s="10">
        <v>37.0</v>
      </c>
      <c r="I14" s="10">
        <v>36.0</v>
      </c>
      <c r="J14" s="10">
        <v>32.0</v>
      </c>
      <c r="K14" s="10">
        <v>37.0</v>
      </c>
      <c r="L14" s="10">
        <v>37.0</v>
      </c>
      <c r="U14" s="1" t="s">
        <v>231</v>
      </c>
      <c r="V14" s="15" t="s">
        <v>232</v>
      </c>
      <c r="W14" s="16" t="str">
        <f>HYPERLINK("https://drive.google.com/file/d/13tK4fO9NOyBeRqkwrzv2gBrZWlpBHgZo/view?usp=drivesdk","최종혁_진로적성검사_2026")</f>
        <v>최종혁_진로적성검사_2026</v>
      </c>
      <c r="X14" s="1" t="s">
        <v>233</v>
      </c>
      <c r="AA14" s="1" t="s">
        <v>174</v>
      </c>
      <c r="AB14" s="17">
        <v>46247.63774021991</v>
      </c>
      <c r="AC14" s="1" t="s">
        <v>234</v>
      </c>
      <c r="AD14" s="17">
        <v>46272.383987152774</v>
      </c>
      <c r="AE14" s="1" t="s">
        <v>235</v>
      </c>
      <c r="AF14" s="15" t="s">
        <v>236</v>
      </c>
      <c r="AG14" s="17"/>
      <c r="AH14" s="18"/>
      <c r="AI14" s="1" t="s">
        <v>237</v>
      </c>
    </row>
    <row r="15">
      <c r="A15" s="10" t="s">
        <v>238</v>
      </c>
      <c r="B15" s="10">
        <v>2025.0</v>
      </c>
      <c r="C15" s="10" t="s">
        <v>239</v>
      </c>
      <c r="D15" s="10" t="s">
        <v>240</v>
      </c>
      <c r="E15" s="10" t="s">
        <v>41</v>
      </c>
      <c r="F15" s="10" t="s">
        <v>59</v>
      </c>
      <c r="G15" s="10">
        <v>44.0</v>
      </c>
      <c r="H15" s="10">
        <v>49.0</v>
      </c>
      <c r="I15" s="10">
        <v>39.0</v>
      </c>
      <c r="J15" s="10">
        <v>58.0</v>
      </c>
      <c r="K15" s="10">
        <v>55.0</v>
      </c>
      <c r="L15" s="10">
        <v>57.0</v>
      </c>
      <c r="U15" s="1" t="s">
        <v>241</v>
      </c>
      <c r="V15" s="15" t="s">
        <v>242</v>
      </c>
      <c r="W15" s="16" t="str">
        <f>HYPERLINK("https://drive.google.com/file/d/1zjuWJq9vmOdzqJZevIsiaLd8NCLTkDsg/view?usp=drivesdk","유성혁_진로적성검사_2026")</f>
        <v>유성혁_진로적성검사_2026</v>
      </c>
      <c r="X15" s="1" t="s">
        <v>243</v>
      </c>
      <c r="AA15" s="1" t="s">
        <v>174</v>
      </c>
      <c r="AB15" s="17">
        <v>46247.63987289352</v>
      </c>
      <c r="AC15" s="17"/>
      <c r="AD15" s="17"/>
      <c r="AE15" s="17"/>
      <c r="AF15" s="17"/>
      <c r="AG15" s="17"/>
      <c r="AH15" s="18"/>
      <c r="AI15" s="17"/>
    </row>
    <row r="16">
      <c r="A16" s="10" t="s">
        <v>244</v>
      </c>
      <c r="B16" s="10">
        <v>2025.0</v>
      </c>
      <c r="C16" s="10" t="s">
        <v>245</v>
      </c>
      <c r="D16" s="10" t="s">
        <v>246</v>
      </c>
      <c r="E16" s="10" t="s">
        <v>41</v>
      </c>
      <c r="F16" s="10" t="s">
        <v>59</v>
      </c>
      <c r="G16" s="10">
        <v>37.0</v>
      </c>
      <c r="H16" s="10">
        <v>36.0</v>
      </c>
      <c r="I16" s="10">
        <v>37.0</v>
      </c>
      <c r="J16" s="10">
        <v>45.0</v>
      </c>
      <c r="K16" s="10">
        <v>39.0</v>
      </c>
      <c r="L16" s="10">
        <v>41.0</v>
      </c>
      <c r="U16" s="1" t="s">
        <v>247</v>
      </c>
      <c r="V16" s="15" t="s">
        <v>248</v>
      </c>
      <c r="W16" s="16" t="str">
        <f>HYPERLINK("https://drive.google.com/file/d/108P3955RebOzhC8_t9VyJxCdebxUlNOR/view?usp=drivesdk","전태은_진로적성검사_2026")</f>
        <v>전태은_진로적성검사_2026</v>
      </c>
      <c r="X16" s="1" t="s">
        <v>249</v>
      </c>
      <c r="AA16" s="1" t="s">
        <v>174</v>
      </c>
      <c r="AB16" s="17">
        <v>46247.64040957176</v>
      </c>
      <c r="AC16" s="17"/>
      <c r="AD16" s="17"/>
      <c r="AE16" s="17"/>
      <c r="AF16" s="17"/>
      <c r="AG16" s="17"/>
      <c r="AH16" s="18"/>
      <c r="AI16" s="17"/>
    </row>
    <row r="17">
      <c r="A17" s="10" t="s">
        <v>250</v>
      </c>
      <c r="B17" s="10">
        <v>2015.0</v>
      </c>
      <c r="C17" s="10" t="s">
        <v>239</v>
      </c>
      <c r="D17" s="10" t="s">
        <v>251</v>
      </c>
      <c r="E17" s="10" t="s">
        <v>35</v>
      </c>
      <c r="F17" s="10" t="s">
        <v>45</v>
      </c>
      <c r="G17" s="10">
        <v>55.0</v>
      </c>
      <c r="H17" s="10">
        <v>41.0</v>
      </c>
      <c r="I17" s="10">
        <v>35.0</v>
      </c>
      <c r="J17" s="10">
        <v>46.0</v>
      </c>
      <c r="K17" s="10">
        <v>54.0</v>
      </c>
      <c r="L17" s="10">
        <v>51.0</v>
      </c>
      <c r="U17" s="1" t="s">
        <v>252</v>
      </c>
      <c r="V17" s="15" t="s">
        <v>253</v>
      </c>
      <c r="W17" s="16" t="str">
        <f>HYPERLINK("https://drive.google.com/file/d/1Tsh5v1zU8aaV3uMa6QhZkFJKMZnDrrSq/view?usp=drivesdk","김규훜_진로적성검사_2026")</f>
        <v>김규훜_진로적성검사_2026</v>
      </c>
      <c r="X17" s="1" t="s">
        <v>254</v>
      </c>
      <c r="AA17" s="1" t="s">
        <v>174</v>
      </c>
      <c r="AB17" s="17">
        <v>46247.64308303241</v>
      </c>
      <c r="AC17" s="17"/>
      <c r="AD17" s="17"/>
      <c r="AE17" s="17"/>
      <c r="AF17" s="17"/>
      <c r="AG17" s="17"/>
      <c r="AH17" s="18"/>
      <c r="AI17" s="17"/>
    </row>
    <row r="18">
      <c r="A18" s="10" t="s">
        <v>207</v>
      </c>
      <c r="B18" s="10">
        <v>1.0</v>
      </c>
      <c r="C18" s="10">
        <v>1.0</v>
      </c>
      <c r="D18" s="10" t="s">
        <v>208</v>
      </c>
      <c r="E18" s="10" t="s">
        <v>35</v>
      </c>
      <c r="F18" s="10" t="s">
        <v>45</v>
      </c>
      <c r="G18" s="10">
        <v>60.0</v>
      </c>
      <c r="H18" s="10">
        <v>60.0</v>
      </c>
      <c r="I18" s="10">
        <v>60.0</v>
      </c>
      <c r="J18" s="10">
        <v>60.0</v>
      </c>
      <c r="K18" s="10">
        <v>60.0</v>
      </c>
      <c r="L18" s="10">
        <v>60.0</v>
      </c>
      <c r="U18" s="1" t="s">
        <v>255</v>
      </c>
      <c r="V18" s="15" t="s">
        <v>256</v>
      </c>
      <c r="W18" s="16" t="str">
        <f>HYPERLINK("https://drive.google.com/file/d/136s1UfcENWMfxvFHnoKav6jDj-SSUzdY/view?usp=drivesdk","테스트_진로적성검사_2026")</f>
        <v>테스트_진로적성검사_2026</v>
      </c>
      <c r="X18" s="1" t="s">
        <v>257</v>
      </c>
      <c r="AA18" s="1" t="s">
        <v>174</v>
      </c>
      <c r="AB18" s="17">
        <v>46247.71412386574</v>
      </c>
      <c r="AC18" s="17"/>
      <c r="AD18" s="17"/>
      <c r="AE18" s="17"/>
      <c r="AF18" s="17"/>
      <c r="AG18" s="17"/>
      <c r="AH18" s="18"/>
      <c r="AI18" s="17"/>
    </row>
    <row r="19">
      <c r="A19" s="10" t="s">
        <v>238</v>
      </c>
      <c r="B19" s="10">
        <v>2025.0</v>
      </c>
      <c r="C19" s="10" t="s">
        <v>239</v>
      </c>
      <c r="D19" s="10" t="s">
        <v>240</v>
      </c>
      <c r="E19" s="10" t="s">
        <v>41</v>
      </c>
      <c r="F19" s="10" t="s">
        <v>59</v>
      </c>
      <c r="G19" s="10">
        <v>47.0</v>
      </c>
      <c r="H19" s="10">
        <v>54.0</v>
      </c>
      <c r="I19" s="10">
        <v>43.0</v>
      </c>
      <c r="J19" s="10">
        <v>60.0</v>
      </c>
      <c r="K19" s="10">
        <v>60.0</v>
      </c>
      <c r="L19" s="10">
        <v>57.0</v>
      </c>
      <c r="U19" s="1" t="s">
        <v>258</v>
      </c>
      <c r="V19" s="15" t="s">
        <v>259</v>
      </c>
      <c r="W19" s="16" t="str">
        <f>HYPERLINK("https://drive.google.com/file/d/1wrUIK_BVu3RxQTNqwEnHjM76J4fFQJ--/view?usp=drivesdk","유성혁_진로적성검사_2026")</f>
        <v>유성혁_진로적성검사_2026</v>
      </c>
      <c r="X19" s="1" t="s">
        <v>260</v>
      </c>
      <c r="AA19" s="1" t="s">
        <v>174</v>
      </c>
      <c r="AB19" s="17">
        <v>46247.7150850926</v>
      </c>
      <c r="AC19" s="17"/>
      <c r="AD19" s="17"/>
      <c r="AE19" s="17"/>
      <c r="AF19" s="17"/>
      <c r="AG19" s="17"/>
      <c r="AH19" s="18"/>
      <c r="AI19" s="17"/>
    </row>
    <row r="20">
      <c r="A20" s="10" t="s">
        <v>244</v>
      </c>
      <c r="B20" s="10">
        <v>2025.0</v>
      </c>
      <c r="C20" s="10" t="s">
        <v>245</v>
      </c>
      <c r="D20" s="10" t="s">
        <v>246</v>
      </c>
      <c r="E20" s="10" t="s">
        <v>35</v>
      </c>
      <c r="F20" s="10" t="s">
        <v>45</v>
      </c>
      <c r="G20" s="10">
        <v>48.0</v>
      </c>
      <c r="H20" s="10">
        <v>48.0</v>
      </c>
      <c r="I20" s="10">
        <v>48.0</v>
      </c>
      <c r="J20" s="10">
        <v>48.0</v>
      </c>
      <c r="K20" s="10">
        <v>48.0</v>
      </c>
      <c r="L20" s="10">
        <v>48.0</v>
      </c>
      <c r="U20" s="1" t="s">
        <v>261</v>
      </c>
      <c r="V20" s="15" t="s">
        <v>262</v>
      </c>
      <c r="W20" s="16" t="str">
        <f>HYPERLINK("https://drive.google.com/file/d/1NtRpzjcjaGEIr4IGqFBkpxzowl0DtJ6z/view?usp=drivesdk","전태은_진로적성검사_2026")</f>
        <v>전태은_진로적성검사_2026</v>
      </c>
      <c r="X20" s="1" t="s">
        <v>260</v>
      </c>
      <c r="AA20" s="1" t="s">
        <v>174</v>
      </c>
      <c r="AB20" s="17">
        <v>46247.71510590278</v>
      </c>
      <c r="AC20" s="17"/>
      <c r="AD20" s="17"/>
      <c r="AE20" s="17"/>
      <c r="AF20" s="17"/>
      <c r="AG20" s="17"/>
      <c r="AH20" s="18"/>
      <c r="AI20" s="17"/>
    </row>
    <row r="21">
      <c r="A21" s="10" t="s">
        <v>224</v>
      </c>
      <c r="B21" s="10">
        <v>2006.0</v>
      </c>
      <c r="C21" s="10" t="s">
        <v>225</v>
      </c>
      <c r="D21" s="10" t="s">
        <v>226</v>
      </c>
      <c r="E21" s="10" t="s">
        <v>37</v>
      </c>
      <c r="F21" s="10" t="s">
        <v>50</v>
      </c>
      <c r="G21" s="10">
        <v>33.0</v>
      </c>
      <c r="H21" s="10">
        <v>37.0</v>
      </c>
      <c r="I21" s="10">
        <v>34.0</v>
      </c>
      <c r="J21" s="10">
        <v>25.0</v>
      </c>
      <c r="K21" s="10">
        <v>21.0</v>
      </c>
      <c r="L21" s="10">
        <v>28.0</v>
      </c>
      <c r="U21" s="1" t="s">
        <v>263</v>
      </c>
      <c r="V21" s="15" t="s">
        <v>264</v>
      </c>
      <c r="W21" s="16" t="str">
        <f>HYPERLINK("https://drive.google.com/file/d/1EG1AAZhDO1U1O0sBfGT_iQ_nD5s4TCeW/view?usp=drivesdk","이재완_진로적성검사_2026")</f>
        <v>이재완_진로적성검사_2026</v>
      </c>
      <c r="X21" s="1" t="s">
        <v>260</v>
      </c>
      <c r="AA21" s="1" t="s">
        <v>174</v>
      </c>
      <c r="AB21" s="17">
        <v>46247.764261122684</v>
      </c>
      <c r="AC21" s="17"/>
      <c r="AD21" s="17"/>
      <c r="AE21" s="17"/>
      <c r="AF21" s="17"/>
      <c r="AG21" s="17"/>
      <c r="AH21" s="18"/>
      <c r="AI21" s="17"/>
    </row>
    <row r="22">
      <c r="A22" s="10" t="s">
        <v>265</v>
      </c>
      <c r="B22" s="10">
        <v>2021.0</v>
      </c>
      <c r="C22" s="10" t="s">
        <v>266</v>
      </c>
      <c r="D22" s="10" t="s">
        <v>267</v>
      </c>
      <c r="E22" s="10" t="s">
        <v>42</v>
      </c>
      <c r="F22" s="10" t="s">
        <v>61</v>
      </c>
      <c r="G22" s="10">
        <v>44.0</v>
      </c>
      <c r="H22" s="10">
        <v>47.0</v>
      </c>
      <c r="I22" s="10">
        <v>42.0</v>
      </c>
      <c r="J22" s="10">
        <v>56.0</v>
      </c>
      <c r="K22" s="10">
        <v>57.0</v>
      </c>
      <c r="L22" s="10">
        <v>54.0</v>
      </c>
      <c r="U22" s="1" t="s">
        <v>268</v>
      </c>
      <c r="V22" s="15" t="s">
        <v>269</v>
      </c>
      <c r="W22" s="16" t="str">
        <f>HYPERLINK("https://drive.google.com/file/d/1DE4QtkZwpBnKAaW8Ed-cUcGgNeNA6qWp/view?usp=drivesdk","장재혁_진로적성검사_2026")</f>
        <v>장재혁_진로적성검사_2026</v>
      </c>
      <c r="X22" s="1" t="s">
        <v>270</v>
      </c>
      <c r="AA22" s="1" t="s">
        <v>174</v>
      </c>
      <c r="AB22" s="17">
        <v>46247.794259375005</v>
      </c>
      <c r="AC22" s="17"/>
      <c r="AD22" s="17"/>
      <c r="AE22" s="17"/>
      <c r="AF22" s="17"/>
      <c r="AG22" s="17"/>
      <c r="AH22" s="18"/>
      <c r="AI22" s="17"/>
    </row>
    <row r="23">
      <c r="A23" s="10" t="s">
        <v>271</v>
      </c>
      <c r="B23" s="10">
        <v>2507.0</v>
      </c>
      <c r="C23" s="10" t="s">
        <v>173</v>
      </c>
      <c r="D23" s="10" t="s">
        <v>272</v>
      </c>
      <c r="E23" s="10" t="s">
        <v>42</v>
      </c>
      <c r="F23" s="10" t="s">
        <v>61</v>
      </c>
      <c r="G23" s="10">
        <v>51.0</v>
      </c>
      <c r="H23" s="10">
        <v>53.0</v>
      </c>
      <c r="I23" s="10">
        <v>50.0</v>
      </c>
      <c r="J23" s="10">
        <v>59.0</v>
      </c>
      <c r="K23" s="10">
        <v>60.0</v>
      </c>
      <c r="L23" s="10">
        <v>54.0</v>
      </c>
      <c r="U23" s="1" t="s">
        <v>273</v>
      </c>
      <c r="V23" s="15" t="s">
        <v>274</v>
      </c>
      <c r="W23" s="16" t="str">
        <f>HYPERLINK("https://drive.google.com/file/d/19mpL21eoVjRAqB-FaBYRwntS_k2Vb-om/view?usp=drivesdk","박종민_진로적성검사_2026")</f>
        <v>박종민_진로적성검사_2026</v>
      </c>
      <c r="X23" s="1" t="s">
        <v>275</v>
      </c>
      <c r="AA23" s="1" t="s">
        <v>174</v>
      </c>
      <c r="AB23" s="17">
        <v>46247.83392297453</v>
      </c>
      <c r="AC23" s="17"/>
      <c r="AD23" s="17"/>
      <c r="AE23" s="17"/>
      <c r="AF23" s="17"/>
      <c r="AG23" s="17"/>
      <c r="AH23" s="18"/>
      <c r="AI23" s="17"/>
    </row>
    <row r="24">
      <c r="A24" s="10" t="s">
        <v>276</v>
      </c>
      <c r="B24" s="10">
        <v>2026.0</v>
      </c>
      <c r="C24" s="10" t="s">
        <v>277</v>
      </c>
      <c r="D24" s="10" t="s">
        <v>278</v>
      </c>
      <c r="E24" s="10" t="s">
        <v>35</v>
      </c>
      <c r="F24" s="10" t="s">
        <v>45</v>
      </c>
      <c r="G24" s="10">
        <v>37.0</v>
      </c>
      <c r="H24" s="10">
        <v>36.0</v>
      </c>
      <c r="I24" s="10">
        <v>36.0</v>
      </c>
      <c r="J24" s="10">
        <v>35.0</v>
      </c>
      <c r="K24" s="10">
        <v>36.0</v>
      </c>
      <c r="L24" s="10">
        <v>37.0</v>
      </c>
      <c r="U24" s="1" t="s">
        <v>279</v>
      </c>
      <c r="V24" s="15" t="s">
        <v>280</v>
      </c>
      <c r="W24" s="16" t="str">
        <f>HYPERLINK("https://drive.google.com/file/d/14zxTxPQ3MvRRc_1q6HNJ5U4DlsuWNW_h/view?usp=drivesdk","문관우_진로적성검사_2026")</f>
        <v>문관우_진로적성검사_2026</v>
      </c>
      <c r="X24" s="1" t="s">
        <v>281</v>
      </c>
      <c r="AA24" s="1" t="s">
        <v>174</v>
      </c>
      <c r="AB24" s="17">
        <v>46247.83395162037</v>
      </c>
      <c r="AC24" s="17"/>
      <c r="AD24" s="17"/>
      <c r="AE24" s="17"/>
      <c r="AF24" s="17"/>
      <c r="AG24" s="17"/>
      <c r="AH24" s="18"/>
      <c r="AI24" s="17"/>
    </row>
    <row r="25">
      <c r="A25" s="10" t="s">
        <v>276</v>
      </c>
      <c r="B25" s="10">
        <v>2026.0</v>
      </c>
      <c r="C25" s="10" t="s">
        <v>277</v>
      </c>
      <c r="D25" s="10" t="s">
        <v>278</v>
      </c>
      <c r="E25" s="10" t="s">
        <v>40</v>
      </c>
      <c r="F25" s="10" t="s">
        <v>58</v>
      </c>
      <c r="G25" s="10">
        <v>44.0</v>
      </c>
      <c r="H25" s="10">
        <v>38.0</v>
      </c>
      <c r="I25" s="10">
        <v>46.0</v>
      </c>
      <c r="J25" s="10">
        <v>40.0</v>
      </c>
      <c r="K25" s="10">
        <v>45.0</v>
      </c>
      <c r="L25" s="10">
        <v>39.0</v>
      </c>
      <c r="U25" s="1" t="s">
        <v>282</v>
      </c>
      <c r="V25" s="15" t="s">
        <v>283</v>
      </c>
      <c r="W25" s="16" t="str">
        <f>HYPERLINK("https://drive.google.com/file/d/1GwZ0WUnW2cveojqlO3GJM8853HxpjiBw/view?usp=drivesdk","문관우_진로적성검사_2026")</f>
        <v>문관우_진로적성검사_2026</v>
      </c>
      <c r="X25" s="1" t="s">
        <v>284</v>
      </c>
      <c r="AA25" s="1" t="s">
        <v>174</v>
      </c>
      <c r="AB25" s="17">
        <v>46247.922112141205</v>
      </c>
      <c r="AC25" s="17"/>
      <c r="AD25" s="17"/>
      <c r="AE25" s="17"/>
      <c r="AF25" s="17"/>
      <c r="AG25" s="17"/>
      <c r="AH25" s="18"/>
      <c r="AI25" s="17"/>
    </row>
    <row r="26">
      <c r="A26" s="10" t="s">
        <v>285</v>
      </c>
      <c r="B26" s="10">
        <v>2027.0</v>
      </c>
      <c r="C26" s="10" t="s">
        <v>245</v>
      </c>
      <c r="D26" s="10" t="s">
        <v>286</v>
      </c>
      <c r="E26" s="10" t="s">
        <v>41</v>
      </c>
      <c r="F26" s="10" t="s">
        <v>59</v>
      </c>
      <c r="G26" s="10">
        <v>33.0</v>
      </c>
      <c r="H26" s="10">
        <v>24.0</v>
      </c>
      <c r="I26" s="10">
        <v>31.0</v>
      </c>
      <c r="J26" s="10">
        <v>47.0</v>
      </c>
      <c r="K26" s="10">
        <v>35.0</v>
      </c>
      <c r="L26" s="10">
        <v>43.0</v>
      </c>
      <c r="U26" s="1" t="s">
        <v>287</v>
      </c>
      <c r="V26" s="15" t="s">
        <v>288</v>
      </c>
      <c r="W26" s="16" t="str">
        <f>HYPERLINK("https://drive.google.com/file/d/1YIJ0wZtxKshozQoATUjV6IZDLgxMoxNB/view?usp=drivesdk","하연_진로적성검사_2026")</f>
        <v>하연_진로적성검사_2026</v>
      </c>
      <c r="X26" s="1" t="s">
        <v>289</v>
      </c>
      <c r="AA26" s="1" t="s">
        <v>174</v>
      </c>
      <c r="AB26" s="17">
        <v>46248.00510538195</v>
      </c>
      <c r="AC26" s="17"/>
      <c r="AD26" s="17"/>
      <c r="AE26" s="17"/>
      <c r="AF26" s="17"/>
      <c r="AG26" s="17"/>
      <c r="AH26" s="18"/>
      <c r="AI26" s="17"/>
    </row>
    <row r="27">
      <c r="A27" s="10" t="s">
        <v>290</v>
      </c>
      <c r="B27" s="10">
        <v>2026.0</v>
      </c>
      <c r="C27" s="10" t="s">
        <v>266</v>
      </c>
      <c r="D27" s="10" t="s">
        <v>291</v>
      </c>
      <c r="E27" s="10" t="s">
        <v>41</v>
      </c>
      <c r="F27" s="10" t="s">
        <v>59</v>
      </c>
      <c r="G27" s="10">
        <v>48.0</v>
      </c>
      <c r="H27" s="10">
        <v>45.0</v>
      </c>
      <c r="I27" s="10">
        <v>49.0</v>
      </c>
      <c r="J27" s="10">
        <v>58.0</v>
      </c>
      <c r="K27" s="10">
        <v>41.0</v>
      </c>
      <c r="L27" s="10">
        <v>49.0</v>
      </c>
      <c r="U27" s="1" t="s">
        <v>292</v>
      </c>
      <c r="V27" s="15" t="s">
        <v>293</v>
      </c>
      <c r="W27" s="16" t="str">
        <f>HYPERLINK("https://drive.google.com/file/d/1eHVr0Mm4g-8SmMXuaSnj5YxlLyQunRDo/view?usp=drivesdk","안문기_진로적성검사_2026")</f>
        <v>안문기_진로적성검사_2026</v>
      </c>
      <c r="X27" s="1" t="s">
        <v>294</v>
      </c>
      <c r="AA27" s="1" t="s">
        <v>174</v>
      </c>
      <c r="AB27" s="17">
        <v>46248.29999128472</v>
      </c>
      <c r="AC27" s="17"/>
      <c r="AD27" s="17"/>
      <c r="AE27" s="17"/>
      <c r="AF27" s="17"/>
      <c r="AG27" s="17"/>
      <c r="AH27" s="18"/>
      <c r="AI27" s="17"/>
    </row>
    <row r="28">
      <c r="A28" s="10" t="s">
        <v>295</v>
      </c>
      <c r="B28" s="10">
        <v>2013.0</v>
      </c>
      <c r="C28" s="10" t="s">
        <v>296</v>
      </c>
      <c r="D28" s="10" t="s">
        <v>297</v>
      </c>
      <c r="E28" s="10" t="s">
        <v>41</v>
      </c>
      <c r="F28" s="10" t="s">
        <v>59</v>
      </c>
      <c r="G28" s="10">
        <v>49.0</v>
      </c>
      <c r="H28" s="10">
        <v>51.0</v>
      </c>
      <c r="I28" s="10">
        <v>48.0</v>
      </c>
      <c r="J28" s="10">
        <v>52.0</v>
      </c>
      <c r="K28" s="10">
        <v>50.0</v>
      </c>
      <c r="L28" s="10">
        <v>48.0</v>
      </c>
      <c r="U28" s="1" t="s">
        <v>298</v>
      </c>
      <c r="V28" s="15" t="s">
        <v>299</v>
      </c>
      <c r="W28" s="16" t="str">
        <f>HYPERLINK("https://drive.google.com/file/d/1X0KgZDyD53aIGLnYvXS84Aqd1vONC87a/view?usp=drivesdk","최승준_진로적성검사_2026")</f>
        <v>최승준_진로적성검사_2026</v>
      </c>
      <c r="X28" s="1" t="s">
        <v>300</v>
      </c>
      <c r="AA28" s="1" t="s">
        <v>174</v>
      </c>
      <c r="AB28" s="17">
        <v>46248.32502805555</v>
      </c>
      <c r="AC28" s="17"/>
      <c r="AD28" s="17"/>
      <c r="AE28" s="17"/>
      <c r="AF28" s="17"/>
      <c r="AG28" s="17"/>
      <c r="AH28" s="18"/>
      <c r="AI28" s="17"/>
    </row>
    <row r="29">
      <c r="A29" s="10" t="s">
        <v>207</v>
      </c>
      <c r="B29" s="10">
        <v>1.0</v>
      </c>
      <c r="C29" s="10">
        <v>1.0</v>
      </c>
      <c r="D29" s="10" t="s">
        <v>301</v>
      </c>
      <c r="E29" s="10" t="s">
        <v>35</v>
      </c>
      <c r="F29" s="10" t="s">
        <v>45</v>
      </c>
      <c r="G29" s="10">
        <v>36.0</v>
      </c>
      <c r="H29" s="10">
        <v>36.0</v>
      </c>
      <c r="I29" s="10">
        <v>36.0</v>
      </c>
      <c r="J29" s="10">
        <v>36.0</v>
      </c>
      <c r="K29" s="10">
        <v>36.0</v>
      </c>
      <c r="L29" s="10">
        <v>36.0</v>
      </c>
      <c r="U29" s="1" t="s">
        <v>302</v>
      </c>
      <c r="V29" s="15" t="s">
        <v>303</v>
      </c>
      <c r="W29" s="16" t="str">
        <f>HYPERLINK("https://drive.google.com/file/d/1_M88-xln3-IFqfZcS2BcAQbpiwWSn0fg/view?usp=drivesdk","테스트_진로적성검사_2026")</f>
        <v>테스트_진로적성검사_2026</v>
      </c>
      <c r="X29" s="1" t="s">
        <v>304</v>
      </c>
      <c r="AA29" s="1" t="s">
        <v>174</v>
      </c>
      <c r="AB29" s="17">
        <v>46248.33362981481</v>
      </c>
      <c r="AC29" s="17"/>
      <c r="AD29" s="17"/>
      <c r="AE29" s="17"/>
      <c r="AF29" s="17"/>
      <c r="AG29" s="17"/>
      <c r="AH29" s="18"/>
      <c r="AI29" s="17"/>
    </row>
    <row r="30">
      <c r="A30" s="10" t="s">
        <v>207</v>
      </c>
      <c r="B30" s="10">
        <v>2025.0</v>
      </c>
      <c r="C30" s="10" t="s">
        <v>239</v>
      </c>
      <c r="D30" s="10" t="s">
        <v>240</v>
      </c>
      <c r="E30" s="10" t="s">
        <v>35</v>
      </c>
      <c r="F30" s="10" t="s">
        <v>45</v>
      </c>
      <c r="G30" s="10">
        <v>60.0</v>
      </c>
      <c r="H30" s="10">
        <v>60.0</v>
      </c>
      <c r="I30" s="10">
        <v>60.0</v>
      </c>
      <c r="J30" s="10">
        <v>60.0</v>
      </c>
      <c r="K30" s="10">
        <v>60.0</v>
      </c>
      <c r="L30" s="10">
        <v>60.0</v>
      </c>
      <c r="U30" s="1" t="s">
        <v>305</v>
      </c>
      <c r="V30" s="15" t="s">
        <v>306</v>
      </c>
      <c r="W30" s="16" t="str">
        <f>HYPERLINK("https://drive.google.com/file/d/1NvaLCat0cTBBCHY5brZsBArx3egcRzXL/view?usp=drivesdk","테스트_진로적성검사_2026")</f>
        <v>테스트_진로적성검사_2026</v>
      </c>
      <c r="X30" s="1" t="s">
        <v>307</v>
      </c>
      <c r="AA30" s="1" t="s">
        <v>174</v>
      </c>
      <c r="AB30" s="17">
        <v>46248.338096736115</v>
      </c>
      <c r="AC30" s="17"/>
      <c r="AD30" s="17"/>
      <c r="AE30" s="17"/>
      <c r="AF30" s="17"/>
      <c r="AG30" s="17"/>
      <c r="AH30" s="18"/>
      <c r="AI30" s="17"/>
    </row>
    <row r="31">
      <c r="A31" s="10" t="s">
        <v>207</v>
      </c>
      <c r="B31" s="10">
        <v>1.0</v>
      </c>
      <c r="C31" s="10">
        <v>1.0</v>
      </c>
      <c r="D31" s="10" t="s">
        <v>208</v>
      </c>
      <c r="E31" s="10" t="s">
        <v>35</v>
      </c>
      <c r="F31" s="10" t="s">
        <v>45</v>
      </c>
      <c r="G31" s="10">
        <v>36.0</v>
      </c>
      <c r="H31" s="10">
        <v>36.0</v>
      </c>
      <c r="I31" s="10">
        <v>36.0</v>
      </c>
      <c r="J31" s="10">
        <v>36.0</v>
      </c>
      <c r="K31" s="10">
        <v>36.0</v>
      </c>
      <c r="L31" s="10">
        <v>36.0</v>
      </c>
      <c r="U31" s="1" t="s">
        <v>308</v>
      </c>
      <c r="V31" s="15" t="s">
        <v>309</v>
      </c>
      <c r="W31" s="16" t="str">
        <f>HYPERLINK("https://drive.google.com/file/d/1TwQLy568Q3xzdfapdaPviFdKCaomjeoX/view?usp=drivesdk","테스트_진로적성검사_2026")</f>
        <v>테스트_진로적성검사_2026</v>
      </c>
      <c r="X31" s="1" t="s">
        <v>310</v>
      </c>
      <c r="AA31" s="1" t="s">
        <v>174</v>
      </c>
      <c r="AB31" s="17">
        <v>46248.34266609953</v>
      </c>
      <c r="AC31" s="17"/>
      <c r="AD31" s="17"/>
      <c r="AE31" s="17"/>
      <c r="AF31" s="17"/>
      <c r="AG31" s="17"/>
      <c r="AH31" s="18"/>
      <c r="AI31" s="17"/>
    </row>
    <row r="32">
      <c r="A32" s="10" t="s">
        <v>311</v>
      </c>
      <c r="B32" s="10">
        <v>2020.0</v>
      </c>
      <c r="C32" s="10" t="s">
        <v>312</v>
      </c>
      <c r="D32" s="10" t="s">
        <v>251</v>
      </c>
      <c r="E32" s="10" t="s">
        <v>35</v>
      </c>
      <c r="F32" s="10" t="s">
        <v>45</v>
      </c>
      <c r="G32" s="10">
        <v>38.0</v>
      </c>
      <c r="H32" s="10">
        <v>27.0</v>
      </c>
      <c r="I32" s="10">
        <v>36.0</v>
      </c>
      <c r="J32" s="10">
        <v>32.0</v>
      </c>
      <c r="K32" s="10">
        <v>30.0</v>
      </c>
      <c r="L32" s="10">
        <v>32.0</v>
      </c>
      <c r="U32" s="1" t="s">
        <v>313</v>
      </c>
      <c r="V32" s="15" t="s">
        <v>314</v>
      </c>
      <c r="W32" s="16" t="str">
        <f>HYPERLINK("https://drive.google.com/file/d/1J_xXkWguuyqhNOm1bh22tcs9hQGrBeg2/view?usp=drivesdk","규훈_진로적성검사_2026")</f>
        <v>규훈_진로적성검사_2026</v>
      </c>
      <c r="X32" s="1" t="s">
        <v>315</v>
      </c>
      <c r="AA32" s="1" t="s">
        <v>174</v>
      </c>
      <c r="AB32" s="17">
        <v>46248.343112523144</v>
      </c>
      <c r="AC32" s="17"/>
      <c r="AD32" s="17"/>
      <c r="AE32" s="17"/>
      <c r="AF32" s="17"/>
      <c r="AG32" s="17"/>
      <c r="AH32" s="18"/>
      <c r="AI32" s="17"/>
    </row>
    <row r="33">
      <c r="A33" s="10" t="s">
        <v>244</v>
      </c>
      <c r="B33" s="10">
        <v>2025.0</v>
      </c>
      <c r="C33" s="10" t="s">
        <v>245</v>
      </c>
      <c r="D33" s="10" t="s">
        <v>246</v>
      </c>
      <c r="E33" s="10" t="s">
        <v>35</v>
      </c>
      <c r="F33" s="10" t="s">
        <v>45</v>
      </c>
      <c r="G33" s="10">
        <v>48.0</v>
      </c>
      <c r="H33" s="10">
        <v>48.0</v>
      </c>
      <c r="I33" s="10">
        <v>48.0</v>
      </c>
      <c r="J33" s="10">
        <v>48.0</v>
      </c>
      <c r="K33" s="10">
        <v>48.0</v>
      </c>
      <c r="L33" s="10">
        <v>48.0</v>
      </c>
      <c r="U33" s="1" t="s">
        <v>316</v>
      </c>
      <c r="V33" s="15" t="s">
        <v>317</v>
      </c>
      <c r="W33" s="16" t="str">
        <f>HYPERLINK("https://drive.google.com/file/d/1LdBglW9x-r6KoCjeabkaV60baz98bk4r/view?usp=drivesdk","전태은_진로적성검사_2026")</f>
        <v>전태은_진로적성검사_2026</v>
      </c>
      <c r="X33" s="1" t="s">
        <v>315</v>
      </c>
      <c r="AA33" s="1" t="s">
        <v>174</v>
      </c>
      <c r="AB33" s="17">
        <v>46248.343132974536</v>
      </c>
      <c r="AC33" s="17"/>
      <c r="AD33" s="17"/>
      <c r="AE33" s="17"/>
      <c r="AF33" s="17"/>
      <c r="AG33" s="17"/>
      <c r="AH33" s="18"/>
      <c r="AI33" s="17"/>
    </row>
    <row r="34">
      <c r="A34" s="10" t="s">
        <v>207</v>
      </c>
      <c r="B34" s="10">
        <v>1.0</v>
      </c>
      <c r="C34" s="10">
        <v>1.0</v>
      </c>
      <c r="D34" s="10" t="s">
        <v>208</v>
      </c>
      <c r="E34" s="10" t="s">
        <v>35</v>
      </c>
      <c r="F34" s="10" t="s">
        <v>45</v>
      </c>
      <c r="G34" s="10">
        <v>36.0</v>
      </c>
      <c r="H34" s="10">
        <v>36.0</v>
      </c>
      <c r="I34" s="10">
        <v>36.0</v>
      </c>
      <c r="J34" s="10">
        <v>36.0</v>
      </c>
      <c r="K34" s="10">
        <v>36.0</v>
      </c>
      <c r="L34" s="10">
        <v>36.0</v>
      </c>
      <c r="U34" s="1" t="s">
        <v>318</v>
      </c>
      <c r="V34" s="15" t="s">
        <v>319</v>
      </c>
      <c r="W34" s="16" t="str">
        <f>HYPERLINK("https://drive.google.com/file/d/1qtX5J4hmHNkHb6See4T2NIPA48odeJne/view?usp=drivesdk","테스트_진로적성검사_2026")</f>
        <v>테스트_진로적성검사_2026</v>
      </c>
      <c r="X34" s="1" t="s">
        <v>320</v>
      </c>
      <c r="AA34" s="1" t="s">
        <v>174</v>
      </c>
      <c r="AB34" s="17">
        <v>46248.350860798615</v>
      </c>
      <c r="AC34" s="17"/>
      <c r="AD34" s="17"/>
      <c r="AE34" s="17"/>
      <c r="AF34" s="17"/>
      <c r="AG34" s="17"/>
      <c r="AH34" s="18"/>
      <c r="AI34" s="17"/>
    </row>
    <row r="35">
      <c r="A35" s="10" t="s">
        <v>207</v>
      </c>
      <c r="B35" s="10">
        <v>2025.0</v>
      </c>
      <c r="C35" s="10" t="s">
        <v>321</v>
      </c>
      <c r="D35" s="10" t="s">
        <v>240</v>
      </c>
      <c r="E35" s="10" t="s">
        <v>35</v>
      </c>
      <c r="F35" s="10" t="s">
        <v>45</v>
      </c>
      <c r="G35" s="10">
        <v>60.0</v>
      </c>
      <c r="H35" s="10">
        <v>60.0</v>
      </c>
      <c r="I35" s="10">
        <v>60.0</v>
      </c>
      <c r="J35" s="10">
        <v>60.0</v>
      </c>
      <c r="K35" s="10">
        <v>60.0</v>
      </c>
      <c r="L35" s="10">
        <v>60.0</v>
      </c>
      <c r="U35" s="1" t="s">
        <v>322</v>
      </c>
      <c r="V35" s="15" t="s">
        <v>323</v>
      </c>
      <c r="W35" s="16" t="str">
        <f>HYPERLINK("https://drive.google.com/file/d/1mmn1VYuJ7DBoQI2bbBX3uVklLLK1p40f/view?usp=drivesdk","테스트_진로적성검사_2026")</f>
        <v>테스트_진로적성검사_2026</v>
      </c>
      <c r="X35" s="1" t="s">
        <v>324</v>
      </c>
      <c r="AA35" s="1" t="s">
        <v>174</v>
      </c>
      <c r="AB35" s="17">
        <v>46248.35787619213</v>
      </c>
      <c r="AC35" s="17"/>
      <c r="AD35" s="17"/>
      <c r="AE35" s="17"/>
      <c r="AF35" s="17"/>
      <c r="AG35" s="17"/>
      <c r="AH35" s="18"/>
      <c r="AI35" s="17"/>
    </row>
    <row r="36">
      <c r="A36" s="10" t="s">
        <v>207</v>
      </c>
      <c r="B36" s="10">
        <v>1.0</v>
      </c>
      <c r="C36" s="10">
        <v>1.0</v>
      </c>
      <c r="D36" s="10" t="s">
        <v>208</v>
      </c>
      <c r="E36" s="10" t="s">
        <v>35</v>
      </c>
      <c r="F36" s="10" t="s">
        <v>45</v>
      </c>
      <c r="G36" s="10">
        <v>36.0</v>
      </c>
      <c r="H36" s="10">
        <v>36.0</v>
      </c>
      <c r="I36" s="10">
        <v>36.0</v>
      </c>
      <c r="J36" s="10">
        <v>36.0</v>
      </c>
      <c r="K36" s="10">
        <v>36.0</v>
      </c>
      <c r="L36" s="10">
        <v>36.0</v>
      </c>
      <c r="U36" s="1" t="s">
        <v>325</v>
      </c>
      <c r="V36" s="15" t="s">
        <v>326</v>
      </c>
      <c r="W36" s="16" t="str">
        <f>HYPERLINK("https://drive.google.com/file/d/1R5oaXZE5pJqUYPhwmhyJlYt_kShIYPoC/view?usp=drivesdk","테스트_진로적성검사_2026")</f>
        <v>테스트_진로적성검사_2026</v>
      </c>
      <c r="X36" s="1" t="s">
        <v>327</v>
      </c>
      <c r="AA36" s="1" t="s">
        <v>174</v>
      </c>
      <c r="AB36" s="17">
        <v>46248.39822769676</v>
      </c>
      <c r="AC36" s="17"/>
      <c r="AD36" s="17"/>
      <c r="AE36" s="17"/>
      <c r="AF36" s="17"/>
      <c r="AG36" s="17"/>
      <c r="AH36" s="18"/>
      <c r="AI36" s="17"/>
    </row>
    <row r="37">
      <c r="A37" s="10" t="s">
        <v>328</v>
      </c>
      <c r="B37" s="10">
        <v>2025.0</v>
      </c>
      <c r="C37" s="10" t="s">
        <v>266</v>
      </c>
      <c r="D37" s="10" t="s">
        <v>329</v>
      </c>
      <c r="E37" s="10" t="s">
        <v>35</v>
      </c>
      <c r="F37" s="10" t="s">
        <v>45</v>
      </c>
      <c r="G37" s="10">
        <v>36.0</v>
      </c>
      <c r="H37" s="10">
        <v>36.0</v>
      </c>
      <c r="I37" s="10">
        <v>36.0</v>
      </c>
      <c r="J37" s="10">
        <v>36.0</v>
      </c>
      <c r="K37" s="10">
        <v>36.0</v>
      </c>
      <c r="L37" s="10">
        <v>36.0</v>
      </c>
      <c r="U37" s="1" t="s">
        <v>330</v>
      </c>
      <c r="V37" s="15" t="s">
        <v>331</v>
      </c>
      <c r="W37" s="16" t="str">
        <f>HYPERLINK("https://drive.google.com/file/d/1B_cw2WKu-MEiNkA8ShIp0eeCEi51KSQx/view?usp=drivesdk","김지욱_진로적성검사_2026")</f>
        <v>김지욱_진로적성검사_2026</v>
      </c>
      <c r="X37" s="1" t="s">
        <v>332</v>
      </c>
      <c r="AA37" s="1" t="s">
        <v>174</v>
      </c>
      <c r="AB37" s="17">
        <v>46248.40386075231</v>
      </c>
      <c r="AC37" s="17"/>
      <c r="AD37" s="17"/>
      <c r="AE37" s="17"/>
      <c r="AF37" s="17"/>
      <c r="AG37" s="17"/>
      <c r="AH37" s="18"/>
      <c r="AI37" s="17"/>
    </row>
    <row r="38">
      <c r="A38" s="10" t="s">
        <v>328</v>
      </c>
      <c r="B38" s="10">
        <v>2025.0</v>
      </c>
      <c r="C38" s="10" t="s">
        <v>266</v>
      </c>
      <c r="D38" s="10" t="s">
        <v>329</v>
      </c>
      <c r="E38" s="10" t="s">
        <v>35</v>
      </c>
      <c r="F38" s="10" t="s">
        <v>45</v>
      </c>
      <c r="G38" s="10">
        <v>36.0</v>
      </c>
      <c r="H38" s="10">
        <v>36.0</v>
      </c>
      <c r="I38" s="10">
        <v>36.0</v>
      </c>
      <c r="J38" s="10">
        <v>36.0</v>
      </c>
      <c r="K38" s="10">
        <v>36.0</v>
      </c>
      <c r="L38" s="10">
        <v>36.0</v>
      </c>
      <c r="U38" s="1" t="s">
        <v>333</v>
      </c>
      <c r="V38" s="15" t="s">
        <v>334</v>
      </c>
      <c r="W38" s="16" t="str">
        <f>HYPERLINK("https://drive.google.com/file/d/12gbaaOEkPRbbHt9CgGu6Sf2CE2L-YXDj/view?usp=drivesdk","김지욱_진로적성검사_2026")</f>
        <v>김지욱_진로적성검사_2026</v>
      </c>
      <c r="X38" s="1" t="s">
        <v>332</v>
      </c>
      <c r="AA38" s="1" t="s">
        <v>174</v>
      </c>
      <c r="AB38" s="17">
        <v>46248.403877060184</v>
      </c>
      <c r="AC38" s="17"/>
      <c r="AD38" s="17"/>
      <c r="AE38" s="17"/>
      <c r="AF38" s="17"/>
      <c r="AG38" s="17"/>
      <c r="AH38" s="18"/>
      <c r="AI38" s="17"/>
    </row>
    <row r="39">
      <c r="A39" s="10" t="s">
        <v>335</v>
      </c>
      <c r="B39" s="10">
        <v>2022.0</v>
      </c>
      <c r="C39" s="10" t="s">
        <v>296</v>
      </c>
      <c r="D39" s="10" t="s">
        <v>336</v>
      </c>
      <c r="E39" s="10" t="s">
        <v>42</v>
      </c>
      <c r="F39" s="10" t="s">
        <v>61</v>
      </c>
      <c r="G39" s="10">
        <v>41.0</v>
      </c>
      <c r="H39" s="10">
        <v>53.0</v>
      </c>
      <c r="I39" s="10">
        <v>43.0</v>
      </c>
      <c r="J39" s="10">
        <v>56.0</v>
      </c>
      <c r="K39" s="10">
        <v>58.0</v>
      </c>
      <c r="L39" s="10">
        <v>56.0</v>
      </c>
      <c r="U39" s="1" t="s">
        <v>337</v>
      </c>
      <c r="V39" s="15" t="s">
        <v>338</v>
      </c>
      <c r="W39" s="16" t="str">
        <f>HYPERLINK("https://drive.google.com/file/d/1G-T5pGyNLuYZRrpsIAB0lVdThmOQ5Pdz/view?usp=drivesdk","양지현_진로적성검사_2026")</f>
        <v>양지현_진로적성검사_2026</v>
      </c>
      <c r="X39" s="1" t="s">
        <v>332</v>
      </c>
      <c r="AA39" s="1" t="s">
        <v>174</v>
      </c>
      <c r="AB39" s="17">
        <v>46248.40389917824</v>
      </c>
      <c r="AC39" s="17"/>
      <c r="AD39" s="17"/>
      <c r="AE39" s="17"/>
      <c r="AF39" s="17"/>
      <c r="AG39" s="17"/>
      <c r="AH39" s="18"/>
      <c r="AI39" s="17"/>
    </row>
    <row r="40">
      <c r="A40" s="10" t="s">
        <v>339</v>
      </c>
      <c r="B40" s="10">
        <v>2025.0</v>
      </c>
      <c r="C40" s="10" t="s">
        <v>340</v>
      </c>
      <c r="D40" s="10" t="s">
        <v>341</v>
      </c>
      <c r="E40" s="10" t="s">
        <v>43</v>
      </c>
      <c r="F40" s="10" t="s">
        <v>66</v>
      </c>
      <c r="G40" s="10">
        <v>32.0</v>
      </c>
      <c r="H40" s="10">
        <v>31.0</v>
      </c>
      <c r="I40" s="10">
        <v>32.0</v>
      </c>
      <c r="J40" s="10">
        <v>41.0</v>
      </c>
      <c r="K40" s="10">
        <v>40.0</v>
      </c>
      <c r="L40" s="10">
        <v>42.0</v>
      </c>
      <c r="U40" s="1" t="s">
        <v>342</v>
      </c>
      <c r="V40" s="15" t="s">
        <v>343</v>
      </c>
      <c r="W40" s="16" t="str">
        <f>HYPERLINK("https://drive.google.com/file/d/1YRByEbm3uRjfKbOztBWKgz7ku_rCqmR3/view?usp=drivesdk","홍서희_진로적성검사_2026")</f>
        <v>홍서희_진로적성검사_2026</v>
      </c>
      <c r="X40" s="1" t="s">
        <v>332</v>
      </c>
      <c r="AA40" s="1" t="s">
        <v>174</v>
      </c>
      <c r="AB40" s="17">
        <v>46248.404065497685</v>
      </c>
      <c r="AC40" s="17"/>
      <c r="AD40" s="17"/>
      <c r="AE40" s="17"/>
      <c r="AF40" s="17"/>
      <c r="AG40" s="17"/>
      <c r="AH40" s="18"/>
      <c r="AI40" s="17"/>
    </row>
    <row r="41">
      <c r="A41" s="10" t="s">
        <v>344</v>
      </c>
      <c r="B41" s="10">
        <v>2026.0</v>
      </c>
      <c r="C41" s="10" t="s">
        <v>277</v>
      </c>
      <c r="D41" s="10" t="s">
        <v>345</v>
      </c>
      <c r="E41" s="10" t="s">
        <v>41</v>
      </c>
      <c r="F41" s="10" t="s">
        <v>59</v>
      </c>
      <c r="G41" s="10">
        <v>40.0</v>
      </c>
      <c r="H41" s="10">
        <v>39.0</v>
      </c>
      <c r="I41" s="10">
        <v>47.0</v>
      </c>
      <c r="J41" s="10">
        <v>56.0</v>
      </c>
      <c r="K41" s="10">
        <v>54.0</v>
      </c>
      <c r="L41" s="10">
        <v>48.0</v>
      </c>
      <c r="U41" s="1" t="s">
        <v>346</v>
      </c>
      <c r="V41" s="15" t="s">
        <v>347</v>
      </c>
      <c r="W41" s="16" t="str">
        <f>HYPERLINK("https://drive.google.com/file/d/1fYNn5Zz8uXKoH0n_mVjCxBLuKF8D_wbJ/view?usp=drivesdk","문경록_진로적성검사_2026")</f>
        <v>문경록_진로적성검사_2026</v>
      </c>
      <c r="X41" s="1" t="s">
        <v>332</v>
      </c>
      <c r="AA41" s="1" t="s">
        <v>174</v>
      </c>
      <c r="AB41" s="17">
        <v>46248.4040862963</v>
      </c>
      <c r="AC41" s="17"/>
      <c r="AD41" s="17"/>
      <c r="AE41" s="17"/>
      <c r="AF41" s="17"/>
      <c r="AG41" s="17"/>
      <c r="AH41" s="18"/>
      <c r="AI41" s="17"/>
    </row>
    <row r="42">
      <c r="A42" s="10" t="s">
        <v>348</v>
      </c>
      <c r="B42" s="10">
        <v>2024.0</v>
      </c>
      <c r="C42" s="10" t="s">
        <v>349</v>
      </c>
      <c r="D42" s="10" t="s">
        <v>350</v>
      </c>
      <c r="E42" s="10" t="s">
        <v>41</v>
      </c>
      <c r="F42" s="10" t="s">
        <v>59</v>
      </c>
      <c r="G42" s="10">
        <v>39.0</v>
      </c>
      <c r="H42" s="10">
        <v>41.0</v>
      </c>
      <c r="I42" s="10">
        <v>44.0</v>
      </c>
      <c r="J42" s="10">
        <v>46.0</v>
      </c>
      <c r="K42" s="10">
        <v>45.0</v>
      </c>
      <c r="L42" s="10">
        <v>43.0</v>
      </c>
      <c r="U42" s="1" t="s">
        <v>351</v>
      </c>
      <c r="V42" s="15" t="s">
        <v>352</v>
      </c>
      <c r="W42" s="16" t="str">
        <f>HYPERLINK("https://drive.google.com/file/d/1iCEcL1l8bPoLn8VpWouV_FHCbYbNntgR/view?usp=drivesdk","이승주_진로적성검사_2026")</f>
        <v>이승주_진로적성검사_2026</v>
      </c>
      <c r="X42" s="1" t="s">
        <v>353</v>
      </c>
      <c r="AA42" s="1" t="s">
        <v>174</v>
      </c>
      <c r="AB42" s="17">
        <v>46248.40436943287</v>
      </c>
      <c r="AC42" s="17"/>
      <c r="AD42" s="17"/>
      <c r="AE42" s="17"/>
      <c r="AF42" s="17"/>
      <c r="AG42" s="17"/>
      <c r="AH42" s="18"/>
      <c r="AI42" s="17"/>
    </row>
    <row r="43">
      <c r="A43" s="10" t="s">
        <v>354</v>
      </c>
      <c r="B43" s="10" t="s">
        <v>355</v>
      </c>
      <c r="C43" s="10" t="s">
        <v>356</v>
      </c>
      <c r="D43" s="10" t="s">
        <v>357</v>
      </c>
      <c r="E43" s="10" t="s">
        <v>43</v>
      </c>
      <c r="F43" s="10" t="s">
        <v>66</v>
      </c>
      <c r="G43" s="10">
        <v>46.0</v>
      </c>
      <c r="H43" s="10">
        <v>48.0</v>
      </c>
      <c r="I43" s="10">
        <v>48.0</v>
      </c>
      <c r="J43" s="10">
        <v>49.0</v>
      </c>
      <c r="K43" s="10">
        <v>41.0</v>
      </c>
      <c r="L43" s="10">
        <v>55.0</v>
      </c>
      <c r="U43" s="1" t="s">
        <v>358</v>
      </c>
      <c r="V43" s="15" t="s">
        <v>359</v>
      </c>
      <c r="W43" s="16" t="str">
        <f>HYPERLINK("https://drive.google.com/file/d/18kRtuVhAq3eiIg1uQONJOB7MlFeKLELp/view?usp=drivesdk","유민서_진로적성검사_2026")</f>
        <v>유민서_진로적성검사_2026</v>
      </c>
      <c r="X43" s="1" t="s">
        <v>353</v>
      </c>
      <c r="AA43" s="1" t="s">
        <v>174</v>
      </c>
      <c r="AB43" s="17">
        <v>46248.40439059028</v>
      </c>
      <c r="AC43" s="17"/>
      <c r="AD43" s="17"/>
      <c r="AE43" s="17"/>
      <c r="AF43" s="17"/>
      <c r="AG43" s="17"/>
      <c r="AH43" s="18"/>
      <c r="AI43" s="17"/>
    </row>
    <row r="44">
      <c r="A44" s="10" t="s">
        <v>360</v>
      </c>
      <c r="B44" s="10">
        <v>2025.0</v>
      </c>
      <c r="C44" s="10" t="s">
        <v>266</v>
      </c>
      <c r="D44" s="10" t="s">
        <v>361</v>
      </c>
      <c r="E44" s="10" t="s">
        <v>40</v>
      </c>
      <c r="F44" s="10" t="s">
        <v>58</v>
      </c>
      <c r="G44" s="10">
        <v>25.0</v>
      </c>
      <c r="H44" s="10">
        <v>28.0</v>
      </c>
      <c r="I44" s="10">
        <v>40.0</v>
      </c>
      <c r="J44" s="10">
        <v>36.0</v>
      </c>
      <c r="K44" s="10">
        <v>34.0</v>
      </c>
      <c r="L44" s="10">
        <v>37.0</v>
      </c>
      <c r="U44" s="1" t="s">
        <v>362</v>
      </c>
      <c r="V44" s="15" t="s">
        <v>363</v>
      </c>
      <c r="W44" s="16" t="str">
        <f>HYPERLINK("https://drive.google.com/file/d/1jJW3GzppMY8cxLIhUqM5y3ikbzmFzKBz/view?usp=drivesdk","유민기_진로적성검사_2026")</f>
        <v>유민기_진로적성검사_2026</v>
      </c>
      <c r="X44" s="1" t="s">
        <v>353</v>
      </c>
      <c r="AA44" s="1" t="s">
        <v>174</v>
      </c>
      <c r="AB44" s="17">
        <v>46248.40453013889</v>
      </c>
      <c r="AC44" s="17"/>
      <c r="AD44" s="17"/>
      <c r="AE44" s="17"/>
      <c r="AF44" s="17"/>
      <c r="AG44" s="17"/>
      <c r="AH44" s="18"/>
      <c r="AI44" s="17"/>
    </row>
    <row r="45">
      <c r="A45" s="10" t="s">
        <v>364</v>
      </c>
      <c r="B45" s="10">
        <v>2026.0</v>
      </c>
      <c r="C45" s="10" t="s">
        <v>365</v>
      </c>
      <c r="D45" s="10" t="s">
        <v>366</v>
      </c>
      <c r="E45" s="10" t="s">
        <v>41</v>
      </c>
      <c r="F45" s="10" t="s">
        <v>59</v>
      </c>
      <c r="G45" s="10">
        <v>46.0</v>
      </c>
      <c r="H45" s="10">
        <v>51.0</v>
      </c>
      <c r="I45" s="10">
        <v>52.0</v>
      </c>
      <c r="J45" s="10">
        <v>53.0</v>
      </c>
      <c r="K45" s="10">
        <v>51.0</v>
      </c>
      <c r="L45" s="10">
        <v>49.0</v>
      </c>
      <c r="U45" s="1" t="s">
        <v>367</v>
      </c>
      <c r="V45" s="15" t="s">
        <v>368</v>
      </c>
      <c r="W45" s="16" t="str">
        <f>HYPERLINK("https://drive.google.com/file/d/1AYgYSuTrHSjdKwnzPOhblZhQPpsTc0XI/view?usp=drivesdk","정형주_진로적성검사_2026")</f>
        <v>정형주_진로적성검사_2026</v>
      </c>
      <c r="X45" s="1" t="s">
        <v>353</v>
      </c>
      <c r="AA45" s="1" t="s">
        <v>174</v>
      </c>
      <c r="AB45" s="17">
        <v>46248.40455574074</v>
      </c>
      <c r="AC45" s="17"/>
      <c r="AD45" s="17"/>
      <c r="AE45" s="17"/>
      <c r="AF45" s="17"/>
      <c r="AG45" s="17"/>
      <c r="AH45" s="18"/>
      <c r="AI45" s="17"/>
    </row>
    <row r="46">
      <c r="A46" s="10" t="s">
        <v>369</v>
      </c>
      <c r="B46" s="10">
        <v>2026.0</v>
      </c>
      <c r="C46" s="10" t="s">
        <v>189</v>
      </c>
      <c r="D46" s="10" t="s">
        <v>370</v>
      </c>
      <c r="E46" s="10" t="s">
        <v>41</v>
      </c>
      <c r="F46" s="10" t="s">
        <v>59</v>
      </c>
      <c r="G46" s="10">
        <v>27.0</v>
      </c>
      <c r="H46" s="10">
        <v>39.0</v>
      </c>
      <c r="I46" s="10">
        <v>49.0</v>
      </c>
      <c r="J46" s="10">
        <v>56.0</v>
      </c>
      <c r="K46" s="10">
        <v>53.0</v>
      </c>
      <c r="L46" s="10">
        <v>39.0</v>
      </c>
      <c r="U46" s="1" t="s">
        <v>371</v>
      </c>
      <c r="V46" s="15" t="s">
        <v>372</v>
      </c>
      <c r="W46" s="16" t="str">
        <f>HYPERLINK("https://drive.google.com/file/d/12zKcB9A19mY-Juqyt-PrZRbZ69Jm4Aa2/view?usp=drivesdk","김정민_진로적성검사_2026")</f>
        <v>김정민_진로적성검사_2026</v>
      </c>
      <c r="X46" s="1" t="s">
        <v>353</v>
      </c>
      <c r="AA46" s="1" t="s">
        <v>174</v>
      </c>
      <c r="AB46" s="17">
        <v>46248.404657719904</v>
      </c>
      <c r="AC46" s="17"/>
      <c r="AD46" s="17"/>
      <c r="AE46" s="17"/>
      <c r="AF46" s="17"/>
      <c r="AG46" s="17"/>
      <c r="AH46" s="18"/>
      <c r="AI46" s="17"/>
    </row>
    <row r="47">
      <c r="A47" s="10" t="s">
        <v>373</v>
      </c>
      <c r="B47" s="10">
        <v>2026.0</v>
      </c>
      <c r="C47" s="10" t="s">
        <v>374</v>
      </c>
      <c r="D47" s="10" t="s">
        <v>375</v>
      </c>
      <c r="E47" s="10" t="s">
        <v>42</v>
      </c>
      <c r="F47" s="10" t="s">
        <v>61</v>
      </c>
      <c r="G47" s="10">
        <v>34.0</v>
      </c>
      <c r="H47" s="10">
        <v>33.0</v>
      </c>
      <c r="I47" s="10">
        <v>48.0</v>
      </c>
      <c r="J47" s="10">
        <v>55.0</v>
      </c>
      <c r="K47" s="10">
        <v>58.0</v>
      </c>
      <c r="L47" s="10">
        <v>47.0</v>
      </c>
      <c r="U47" s="1" t="s">
        <v>376</v>
      </c>
      <c r="V47" s="15" t="s">
        <v>377</v>
      </c>
      <c r="W47" s="16" t="str">
        <f>HYPERLINK("https://drive.google.com/file/d/1vzqspvPNnc9q1E1VZabp08z7XEVuwVWB/view?usp=drivesdk","김원우_진로적성검사_2026")</f>
        <v>김원우_진로적성검사_2026</v>
      </c>
      <c r="X47" s="1" t="s">
        <v>353</v>
      </c>
      <c r="AA47" s="1" t="s">
        <v>174</v>
      </c>
      <c r="AB47" s="17">
        <v>46248.404581932875</v>
      </c>
      <c r="AC47" s="17"/>
      <c r="AD47" s="17"/>
      <c r="AE47" s="17"/>
      <c r="AF47" s="17"/>
      <c r="AG47" s="17"/>
      <c r="AH47" s="18"/>
      <c r="AI47" s="17"/>
    </row>
    <row r="48">
      <c r="A48" s="10" t="s">
        <v>378</v>
      </c>
      <c r="B48" s="10">
        <v>25.0</v>
      </c>
      <c r="C48" s="10" t="s">
        <v>379</v>
      </c>
      <c r="D48" s="10" t="s">
        <v>380</v>
      </c>
      <c r="E48" s="10" t="s">
        <v>37</v>
      </c>
      <c r="F48" s="10" t="s">
        <v>50</v>
      </c>
      <c r="G48" s="10">
        <v>58.0</v>
      </c>
      <c r="H48" s="10">
        <v>60.0</v>
      </c>
      <c r="I48" s="10">
        <v>60.0</v>
      </c>
      <c r="J48" s="10">
        <v>60.0</v>
      </c>
      <c r="K48" s="10">
        <v>58.0</v>
      </c>
      <c r="L48" s="10">
        <v>59.0</v>
      </c>
      <c r="U48" s="1" t="s">
        <v>381</v>
      </c>
      <c r="V48" s="15" t="s">
        <v>382</v>
      </c>
      <c r="W48" s="16" t="str">
        <f>HYPERLINK("https://drive.google.com/file/d/146Ca1uAgz86O48-JSvsJn-KEj40yf-uM/view?usp=drivesdk","티모대위_진로적성검사_2026")</f>
        <v>티모대위_진로적성검사_2026</v>
      </c>
      <c r="X48" s="1" t="s">
        <v>353</v>
      </c>
      <c r="AA48" s="1" t="s">
        <v>174</v>
      </c>
      <c r="AB48" s="17">
        <v>46248.40468229167</v>
      </c>
      <c r="AC48" s="17"/>
      <c r="AD48" s="17"/>
      <c r="AE48" s="17"/>
      <c r="AF48" s="17"/>
      <c r="AG48" s="17"/>
      <c r="AH48" s="18"/>
      <c r="AI48" s="17"/>
    </row>
    <row r="49">
      <c r="A49" s="10" t="s">
        <v>383</v>
      </c>
      <c r="B49" s="10">
        <v>2025.0</v>
      </c>
      <c r="C49" s="10" t="s">
        <v>365</v>
      </c>
      <c r="D49" s="10" t="s">
        <v>384</v>
      </c>
      <c r="E49" s="10" t="s">
        <v>41</v>
      </c>
      <c r="F49" s="10" t="s">
        <v>59</v>
      </c>
      <c r="G49" s="10">
        <v>24.0</v>
      </c>
      <c r="H49" s="10">
        <v>21.0</v>
      </c>
      <c r="I49" s="10">
        <v>29.0</v>
      </c>
      <c r="J49" s="10">
        <v>43.0</v>
      </c>
      <c r="K49" s="10">
        <v>35.0</v>
      </c>
      <c r="L49" s="10">
        <v>23.0</v>
      </c>
      <c r="U49" s="1" t="s">
        <v>385</v>
      </c>
      <c r="V49" s="15" t="s">
        <v>386</v>
      </c>
      <c r="W49" s="16" t="str">
        <f>HYPERLINK("https://drive.google.com/file/d/18pFdGSorSzuwGHovSTXuXQuah26klDMI/view?usp=drivesdk","문종민_진로적성검사_2026")</f>
        <v>문종민_진로적성검사_2026</v>
      </c>
      <c r="X49" s="1" t="s">
        <v>353</v>
      </c>
      <c r="AA49" s="1" t="s">
        <v>174</v>
      </c>
      <c r="AB49" s="17">
        <v>46248.40470702546</v>
      </c>
      <c r="AC49" s="17"/>
      <c r="AD49" s="17"/>
      <c r="AE49" s="17"/>
      <c r="AF49" s="17"/>
      <c r="AG49" s="17"/>
      <c r="AH49" s="18"/>
      <c r="AI49" s="17"/>
    </row>
    <row r="50">
      <c r="A50" s="10" t="s">
        <v>387</v>
      </c>
      <c r="B50" s="10">
        <v>2022.0</v>
      </c>
      <c r="C50" s="10" t="s">
        <v>277</v>
      </c>
      <c r="D50" s="10" t="s">
        <v>388</v>
      </c>
      <c r="E50" s="10" t="s">
        <v>41</v>
      </c>
      <c r="F50" s="10" t="s">
        <v>59</v>
      </c>
      <c r="G50" s="10">
        <v>46.0</v>
      </c>
      <c r="H50" s="10">
        <v>48.0</v>
      </c>
      <c r="I50" s="10">
        <v>35.0</v>
      </c>
      <c r="J50" s="10">
        <v>56.0</v>
      </c>
      <c r="K50" s="10">
        <v>51.0</v>
      </c>
      <c r="L50" s="10">
        <v>44.0</v>
      </c>
      <c r="U50" s="1" t="s">
        <v>389</v>
      </c>
      <c r="V50" s="15" t="s">
        <v>390</v>
      </c>
      <c r="W50" s="16" t="str">
        <f>HYPERLINK("https://drive.google.com/file/d/13ZhAoMf-slAB8MozQ1OKBZT_G3_h9gUr/view?usp=drivesdk","이철규_진로적성검사_2026")</f>
        <v>이철규_진로적성검사_2026</v>
      </c>
      <c r="X50" s="1" t="s">
        <v>353</v>
      </c>
      <c r="AA50" s="1" t="s">
        <v>174</v>
      </c>
      <c r="AB50" s="17">
        <v>46248.40481388889</v>
      </c>
      <c r="AC50" s="17"/>
      <c r="AD50" s="17"/>
      <c r="AE50" s="17"/>
      <c r="AF50" s="17"/>
      <c r="AG50" s="17"/>
      <c r="AH50" s="18"/>
      <c r="AI50" s="17"/>
    </row>
    <row r="51">
      <c r="A51" s="10" t="s">
        <v>391</v>
      </c>
      <c r="B51" s="10">
        <v>2024.0</v>
      </c>
      <c r="C51" s="10" t="s">
        <v>392</v>
      </c>
      <c r="D51" s="10" t="s">
        <v>393</v>
      </c>
      <c r="E51" s="10" t="s">
        <v>42</v>
      </c>
      <c r="F51" s="10" t="s">
        <v>61</v>
      </c>
      <c r="G51" s="10">
        <v>44.0</v>
      </c>
      <c r="H51" s="10">
        <v>34.0</v>
      </c>
      <c r="I51" s="10">
        <v>32.0</v>
      </c>
      <c r="J51" s="10">
        <v>47.0</v>
      </c>
      <c r="K51" s="10">
        <v>54.0</v>
      </c>
      <c r="L51" s="10">
        <v>49.0</v>
      </c>
      <c r="U51" s="1" t="s">
        <v>394</v>
      </c>
      <c r="V51" s="15" t="s">
        <v>395</v>
      </c>
      <c r="W51" s="16" t="str">
        <f>HYPERLINK("https://drive.google.com/file/d/1tRonc2lpIc78vHDUGsRSqgewFgr-f-JH/view?usp=drivesdk","김준모_진로적성검사_2026")</f>
        <v>김준모_진로적성검사_2026</v>
      </c>
      <c r="X51" s="1" t="s">
        <v>353</v>
      </c>
      <c r="AA51" s="1" t="s">
        <v>174</v>
      </c>
      <c r="AB51" s="17">
        <v>46248.40484225695</v>
      </c>
      <c r="AC51" s="17"/>
      <c r="AD51" s="17"/>
      <c r="AE51" s="17"/>
      <c r="AF51" s="17"/>
      <c r="AG51" s="17"/>
      <c r="AH51" s="18"/>
      <c r="AI51" s="17"/>
    </row>
    <row r="52">
      <c r="A52" s="10" t="s">
        <v>396</v>
      </c>
      <c r="B52" s="10">
        <v>2024.0</v>
      </c>
      <c r="C52" s="10" t="s">
        <v>266</v>
      </c>
      <c r="D52" s="10" t="s">
        <v>397</v>
      </c>
      <c r="E52" s="10" t="s">
        <v>43</v>
      </c>
      <c r="F52" s="10" t="s">
        <v>66</v>
      </c>
      <c r="G52" s="10">
        <v>46.0</v>
      </c>
      <c r="H52" s="10">
        <v>41.0</v>
      </c>
      <c r="I52" s="10">
        <v>33.0</v>
      </c>
      <c r="J52" s="10">
        <v>45.0</v>
      </c>
      <c r="K52" s="10">
        <v>43.0</v>
      </c>
      <c r="L52" s="10">
        <v>48.0</v>
      </c>
      <c r="U52" s="1" t="s">
        <v>398</v>
      </c>
      <c r="V52" s="15" t="s">
        <v>399</v>
      </c>
      <c r="W52" s="16" t="str">
        <f>HYPERLINK("https://drive.google.com/file/d/1ctlRUPKa0xbWsj87Bekl9N8V-UfIA0af/view?usp=drivesdk","김성원_진로적성검사_2026")</f>
        <v>김성원_진로적성검사_2026</v>
      </c>
      <c r="X52" s="1" t="s">
        <v>353</v>
      </c>
      <c r="AA52" s="1" t="s">
        <v>174</v>
      </c>
      <c r="AB52" s="17">
        <v>46248.40486193287</v>
      </c>
      <c r="AC52" s="17"/>
      <c r="AD52" s="17"/>
      <c r="AE52" s="17"/>
      <c r="AF52" s="17"/>
      <c r="AG52" s="17"/>
      <c r="AH52" s="18"/>
      <c r="AI52" s="17"/>
    </row>
    <row r="53">
      <c r="A53" s="10" t="s">
        <v>400</v>
      </c>
      <c r="B53" s="10">
        <v>2024.0</v>
      </c>
      <c r="C53" s="10" t="s">
        <v>356</v>
      </c>
      <c r="D53" s="10" t="s">
        <v>401</v>
      </c>
      <c r="E53" s="10" t="s">
        <v>41</v>
      </c>
      <c r="F53" s="10" t="s">
        <v>59</v>
      </c>
      <c r="G53" s="10">
        <v>39.0</v>
      </c>
      <c r="H53" s="10">
        <v>35.0</v>
      </c>
      <c r="I53" s="10">
        <v>35.0</v>
      </c>
      <c r="J53" s="10">
        <v>46.0</v>
      </c>
      <c r="K53" s="10">
        <v>46.0</v>
      </c>
      <c r="L53" s="10">
        <v>45.0</v>
      </c>
      <c r="U53" s="1" t="s">
        <v>402</v>
      </c>
      <c r="V53" s="15" t="s">
        <v>403</v>
      </c>
      <c r="W53" s="16" t="str">
        <f>HYPERLINK("https://drive.google.com/file/d/1LlOe1fbRPP1FcVsQGChuyjClTIqm4cTd/view?usp=drivesdk","이태준_진로적성검사_2026")</f>
        <v>이태준_진로적성검사_2026</v>
      </c>
      <c r="X53" s="1" t="s">
        <v>404</v>
      </c>
      <c r="AA53" s="1" t="s">
        <v>174</v>
      </c>
      <c r="AB53" s="17">
        <v>46248.40501163194</v>
      </c>
      <c r="AC53" s="17"/>
      <c r="AD53" s="17"/>
      <c r="AE53" s="17"/>
      <c r="AF53" s="17"/>
      <c r="AG53" s="17"/>
      <c r="AH53" s="18"/>
      <c r="AI53" s="17"/>
    </row>
    <row r="54">
      <c r="A54" s="10" t="s">
        <v>405</v>
      </c>
      <c r="B54" s="10">
        <v>2024.0</v>
      </c>
      <c r="C54" s="10" t="s">
        <v>266</v>
      </c>
      <c r="D54" s="10" t="s">
        <v>406</v>
      </c>
      <c r="E54" s="10" t="s">
        <v>41</v>
      </c>
      <c r="F54" s="10" t="s">
        <v>59</v>
      </c>
      <c r="G54" s="10">
        <v>44.0</v>
      </c>
      <c r="H54" s="10">
        <v>43.0</v>
      </c>
      <c r="I54" s="10">
        <v>39.0</v>
      </c>
      <c r="J54" s="10">
        <v>52.0</v>
      </c>
      <c r="K54" s="10">
        <v>51.0</v>
      </c>
      <c r="L54" s="10">
        <v>47.0</v>
      </c>
      <c r="U54" s="1" t="s">
        <v>407</v>
      </c>
      <c r="V54" s="15" t="s">
        <v>408</v>
      </c>
      <c r="W54" s="16" t="str">
        <f>HYPERLINK("https://drive.google.com/file/d/19WjIiff6r8K8D6DLeKJTDQcAutrwIRLk/view?usp=drivesdk","이장엽_진로적성검사_2026")</f>
        <v>이장엽_진로적성검사_2026</v>
      </c>
      <c r="X54" s="1" t="s">
        <v>404</v>
      </c>
      <c r="AA54" s="1" t="s">
        <v>174</v>
      </c>
      <c r="AB54" s="17">
        <v>46248.40505577547</v>
      </c>
      <c r="AC54" s="17"/>
      <c r="AD54" s="17"/>
      <c r="AE54" s="17"/>
      <c r="AF54" s="17"/>
      <c r="AG54" s="17"/>
      <c r="AH54" s="18"/>
      <c r="AI54" s="17"/>
    </row>
    <row r="55">
      <c r="A55" s="10" t="s">
        <v>409</v>
      </c>
      <c r="B55" s="10">
        <v>2024.0</v>
      </c>
      <c r="C55" s="10" t="s">
        <v>340</v>
      </c>
      <c r="D55" s="10" t="s">
        <v>410</v>
      </c>
      <c r="E55" s="10" t="s">
        <v>42</v>
      </c>
      <c r="F55" s="10" t="s">
        <v>61</v>
      </c>
      <c r="G55" s="10">
        <v>46.0</v>
      </c>
      <c r="H55" s="10">
        <v>55.0</v>
      </c>
      <c r="I55" s="10">
        <v>49.0</v>
      </c>
      <c r="J55" s="10">
        <v>59.0</v>
      </c>
      <c r="K55" s="10">
        <v>60.0</v>
      </c>
      <c r="L55" s="10">
        <v>55.0</v>
      </c>
      <c r="U55" s="1" t="s">
        <v>411</v>
      </c>
      <c r="V55" s="15" t="s">
        <v>412</v>
      </c>
      <c r="W55" s="16" t="str">
        <f>HYPERLINK("https://drive.google.com/file/d/1SkE8yJNgIF51gBrHkJiprvuwkW9Q579M/view?usp=drivesdk","한재의_진로적성검사_2026")</f>
        <v>한재의_진로적성검사_2026</v>
      </c>
      <c r="X55" s="1" t="s">
        <v>404</v>
      </c>
      <c r="AA55" s="1" t="s">
        <v>174</v>
      </c>
      <c r="AB55" s="17">
        <v>46248.40507581018</v>
      </c>
      <c r="AC55" s="17"/>
      <c r="AD55" s="17"/>
      <c r="AE55" s="17"/>
      <c r="AF55" s="17"/>
      <c r="AG55" s="17"/>
      <c r="AH55" s="18"/>
      <c r="AI55" s="17"/>
    </row>
    <row r="56">
      <c r="A56" s="10" t="s">
        <v>413</v>
      </c>
      <c r="B56" s="10">
        <v>2022.0</v>
      </c>
      <c r="C56" s="10" t="s">
        <v>356</v>
      </c>
      <c r="D56" s="10" t="s">
        <v>414</v>
      </c>
      <c r="E56" s="10" t="s">
        <v>41</v>
      </c>
      <c r="F56" s="10" t="s">
        <v>59</v>
      </c>
      <c r="G56" s="10">
        <v>42.0</v>
      </c>
      <c r="H56" s="10">
        <v>44.0</v>
      </c>
      <c r="I56" s="10">
        <v>30.0</v>
      </c>
      <c r="J56" s="10">
        <v>48.0</v>
      </c>
      <c r="K56" s="10">
        <v>43.0</v>
      </c>
      <c r="L56" s="10">
        <v>40.0</v>
      </c>
      <c r="U56" s="1" t="s">
        <v>415</v>
      </c>
      <c r="V56" s="15" t="s">
        <v>416</v>
      </c>
      <c r="W56" s="16" t="str">
        <f>HYPERLINK("https://drive.google.com/file/d/140mysuaN_qCB_Sxb0l_h7xKGiEZejRGJ/view?usp=drivesdk","이성욱_진로적성검사_2026")</f>
        <v>이성욱_진로적성검사_2026</v>
      </c>
      <c r="X56" s="1" t="s">
        <v>404</v>
      </c>
      <c r="AA56" s="1" t="s">
        <v>174</v>
      </c>
      <c r="AB56" s="17">
        <v>46248.40516581018</v>
      </c>
      <c r="AC56" s="17"/>
      <c r="AD56" s="17"/>
      <c r="AE56" s="17"/>
      <c r="AF56" s="17"/>
      <c r="AG56" s="17"/>
      <c r="AH56" s="18"/>
      <c r="AI56" s="17"/>
    </row>
    <row r="57">
      <c r="A57" s="10" t="s">
        <v>417</v>
      </c>
      <c r="B57" s="10" t="s">
        <v>418</v>
      </c>
      <c r="C57" s="10" t="s">
        <v>365</v>
      </c>
      <c r="D57" s="10" t="s">
        <v>419</v>
      </c>
      <c r="E57" s="10" t="s">
        <v>43</v>
      </c>
      <c r="F57" s="10" t="s">
        <v>66</v>
      </c>
      <c r="G57" s="10">
        <v>40.0</v>
      </c>
      <c r="H57" s="10">
        <v>32.0</v>
      </c>
      <c r="I57" s="10">
        <v>26.0</v>
      </c>
      <c r="J57" s="10">
        <v>50.0</v>
      </c>
      <c r="K57" s="10">
        <v>40.0</v>
      </c>
      <c r="L57" s="10">
        <v>51.0</v>
      </c>
      <c r="U57" s="1" t="s">
        <v>420</v>
      </c>
      <c r="V57" s="15" t="s">
        <v>421</v>
      </c>
      <c r="W57" s="16" t="str">
        <f>HYPERLINK("https://drive.google.com/file/d/1hvIwi8WI8_DmWFH_vG67btVkEQBFFewG/view?usp=drivesdk","장민혁_진로적성검사_2026")</f>
        <v>장민혁_진로적성검사_2026</v>
      </c>
      <c r="X57" s="1" t="s">
        <v>404</v>
      </c>
      <c r="AA57" s="1" t="s">
        <v>174</v>
      </c>
      <c r="AB57" s="17">
        <v>46248.40518452546</v>
      </c>
      <c r="AC57" s="17"/>
      <c r="AD57" s="17"/>
      <c r="AE57" s="17"/>
      <c r="AF57" s="17"/>
      <c r="AG57" s="17"/>
      <c r="AH57" s="18"/>
      <c r="AI57" s="17"/>
    </row>
    <row r="58">
      <c r="A58" s="10" t="s">
        <v>422</v>
      </c>
      <c r="B58" s="10">
        <v>2025.0</v>
      </c>
      <c r="C58" s="10" t="s">
        <v>219</v>
      </c>
      <c r="D58" s="10" t="s">
        <v>423</v>
      </c>
      <c r="E58" s="10" t="s">
        <v>43</v>
      </c>
      <c r="F58" s="10" t="s">
        <v>66</v>
      </c>
      <c r="G58" s="10">
        <v>36.0</v>
      </c>
      <c r="H58" s="10">
        <v>44.0</v>
      </c>
      <c r="I58" s="10">
        <v>28.0</v>
      </c>
      <c r="J58" s="10">
        <v>47.0</v>
      </c>
      <c r="K58" s="10">
        <v>47.0</v>
      </c>
      <c r="L58" s="10">
        <v>51.0</v>
      </c>
      <c r="U58" s="1" t="s">
        <v>424</v>
      </c>
      <c r="V58" s="15" t="s">
        <v>425</v>
      </c>
      <c r="W58" s="16" t="str">
        <f>HYPERLINK("https://drive.google.com/file/d/1SwLQfxD8kY6SVQHlEu9wJ_Nvqz2tHTLt/view?usp=drivesdk","정인준_진로적성검사_2026")</f>
        <v>정인준_진로적성검사_2026</v>
      </c>
      <c r="X58" s="1" t="s">
        <v>404</v>
      </c>
      <c r="AA58" s="1" t="s">
        <v>174</v>
      </c>
      <c r="AB58" s="17">
        <v>46248.40537791667</v>
      </c>
      <c r="AC58" s="17"/>
      <c r="AD58" s="17"/>
      <c r="AE58" s="17"/>
      <c r="AF58" s="17"/>
      <c r="AG58" s="17"/>
      <c r="AH58" s="18"/>
      <c r="AI58" s="17"/>
    </row>
    <row r="59">
      <c r="A59" s="10" t="s">
        <v>426</v>
      </c>
      <c r="B59" s="10">
        <v>2025.0</v>
      </c>
      <c r="C59" s="10" t="s">
        <v>427</v>
      </c>
      <c r="D59" s="10" t="s">
        <v>428</v>
      </c>
      <c r="E59" s="10" t="s">
        <v>41</v>
      </c>
      <c r="F59" s="10" t="s">
        <v>59</v>
      </c>
      <c r="G59" s="10">
        <v>34.0</v>
      </c>
      <c r="H59" s="10">
        <v>32.0</v>
      </c>
      <c r="I59" s="10">
        <v>32.0</v>
      </c>
      <c r="J59" s="10">
        <v>37.0</v>
      </c>
      <c r="K59" s="10">
        <v>35.0</v>
      </c>
      <c r="L59" s="10">
        <v>36.0</v>
      </c>
      <c r="U59" s="1" t="s">
        <v>429</v>
      </c>
      <c r="V59" s="15" t="s">
        <v>430</v>
      </c>
      <c r="W59" s="16" t="str">
        <f>HYPERLINK("https://drive.google.com/file/d/1ZDiqYq4W_asD-77RJGz-7e45SKP9vEL6/view?usp=drivesdk","김동규_진로적성검사_2026")</f>
        <v>김동규_진로적성검사_2026</v>
      </c>
      <c r="X59" s="1" t="s">
        <v>404</v>
      </c>
      <c r="AA59" s="1" t="s">
        <v>174</v>
      </c>
      <c r="AB59" s="17">
        <v>46248.405402187505</v>
      </c>
      <c r="AC59" s="17"/>
      <c r="AD59" s="17"/>
      <c r="AE59" s="17"/>
      <c r="AF59" s="17"/>
      <c r="AG59" s="17"/>
      <c r="AH59" s="18"/>
      <c r="AI59" s="17"/>
    </row>
    <row r="60">
      <c r="A60" s="10" t="s">
        <v>431</v>
      </c>
      <c r="B60" s="10">
        <v>2023.0</v>
      </c>
      <c r="C60" s="10" t="s">
        <v>213</v>
      </c>
      <c r="D60" s="10" t="s">
        <v>432</v>
      </c>
      <c r="E60" s="10" t="s">
        <v>41</v>
      </c>
      <c r="F60" s="10" t="s">
        <v>59</v>
      </c>
      <c r="G60" s="10">
        <v>42.0</v>
      </c>
      <c r="H60" s="10">
        <v>35.0</v>
      </c>
      <c r="I60" s="10">
        <v>45.0</v>
      </c>
      <c r="J60" s="10">
        <v>57.0</v>
      </c>
      <c r="K60" s="10">
        <v>50.0</v>
      </c>
      <c r="L60" s="10">
        <v>44.0</v>
      </c>
      <c r="U60" s="1" t="s">
        <v>433</v>
      </c>
      <c r="V60" s="15" t="s">
        <v>434</v>
      </c>
      <c r="W60" s="16" t="str">
        <f>HYPERLINK("https://drive.google.com/file/d/1QlQm-tLNa2OQn93rEtrlJ_EgfxGiwVKy/view?usp=drivesdk","허재호_진로적성검사_2026")</f>
        <v>허재호_진로적성검사_2026</v>
      </c>
      <c r="X60" s="1" t="s">
        <v>404</v>
      </c>
      <c r="AA60" s="1" t="s">
        <v>174</v>
      </c>
      <c r="AB60" s="17">
        <v>46248.40543119213</v>
      </c>
      <c r="AC60" s="17"/>
      <c r="AD60" s="17"/>
      <c r="AE60" s="17"/>
      <c r="AF60" s="17"/>
      <c r="AG60" s="17"/>
      <c r="AH60" s="18"/>
      <c r="AI60" s="17"/>
    </row>
    <row r="61">
      <c r="A61" s="10" t="s">
        <v>435</v>
      </c>
      <c r="B61" s="10">
        <v>2024.0</v>
      </c>
      <c r="C61" s="10" t="s">
        <v>239</v>
      </c>
      <c r="D61" s="10" t="s">
        <v>436</v>
      </c>
      <c r="E61" s="10" t="s">
        <v>41</v>
      </c>
      <c r="F61" s="10" t="s">
        <v>59</v>
      </c>
      <c r="G61" s="10">
        <v>32.0</v>
      </c>
      <c r="H61" s="10">
        <v>30.0</v>
      </c>
      <c r="I61" s="10">
        <v>33.0</v>
      </c>
      <c r="J61" s="10">
        <v>39.0</v>
      </c>
      <c r="K61" s="10">
        <v>39.0</v>
      </c>
      <c r="L61" s="10">
        <v>36.0</v>
      </c>
      <c r="U61" s="1" t="s">
        <v>437</v>
      </c>
      <c r="V61" s="15" t="s">
        <v>438</v>
      </c>
      <c r="W61" s="16" t="str">
        <f>HYPERLINK("https://drive.google.com/file/d/1RSxLCvHggLmOJsPStzLywW1ui68FmHbb/view?usp=drivesdk","송원범_진로적성검사_2026")</f>
        <v>송원범_진로적성검사_2026</v>
      </c>
      <c r="X61" s="1" t="s">
        <v>404</v>
      </c>
      <c r="AA61" s="1" t="s">
        <v>174</v>
      </c>
      <c r="AB61" s="17">
        <v>46248.405418993054</v>
      </c>
      <c r="AC61" s="17"/>
      <c r="AD61" s="17"/>
      <c r="AE61" s="17"/>
      <c r="AF61" s="17"/>
      <c r="AG61" s="17"/>
      <c r="AH61" s="18"/>
      <c r="AI61" s="17"/>
    </row>
    <row r="62">
      <c r="A62" s="10" t="s">
        <v>439</v>
      </c>
      <c r="B62" s="10">
        <v>2026.0</v>
      </c>
      <c r="C62" s="10" t="s">
        <v>365</v>
      </c>
      <c r="D62" s="10" t="s">
        <v>440</v>
      </c>
      <c r="E62" s="10" t="s">
        <v>41</v>
      </c>
      <c r="F62" s="10" t="s">
        <v>59</v>
      </c>
      <c r="G62" s="10">
        <v>25.0</v>
      </c>
      <c r="H62" s="10">
        <v>17.0</v>
      </c>
      <c r="I62" s="10">
        <v>24.0</v>
      </c>
      <c r="J62" s="10">
        <v>36.0</v>
      </c>
      <c r="K62" s="10">
        <v>24.0</v>
      </c>
      <c r="L62" s="10">
        <v>27.0</v>
      </c>
      <c r="U62" s="1" t="s">
        <v>441</v>
      </c>
      <c r="V62" s="15" t="s">
        <v>442</v>
      </c>
      <c r="W62" s="16" t="str">
        <f>HYPERLINK("https://drive.google.com/file/d/1a-qlfB9Q7RlxcM7hSpobaGjGsn6PfrfZ/view?usp=drivesdk","권우성_진로적성검사_2026")</f>
        <v>권우성_진로적성검사_2026</v>
      </c>
      <c r="X62" s="1" t="s">
        <v>404</v>
      </c>
      <c r="AA62" s="1" t="s">
        <v>174</v>
      </c>
      <c r="AB62" s="17">
        <v>46248.40545655093</v>
      </c>
      <c r="AC62" s="17"/>
      <c r="AD62" s="17"/>
      <c r="AE62" s="17"/>
      <c r="AF62" s="17"/>
      <c r="AG62" s="17"/>
      <c r="AH62" s="18"/>
      <c r="AI62" s="17"/>
    </row>
    <row r="63">
      <c r="A63" s="10" t="s">
        <v>443</v>
      </c>
      <c r="B63" s="10">
        <v>2025.0</v>
      </c>
      <c r="C63" s="10" t="s">
        <v>219</v>
      </c>
      <c r="D63" s="10" t="s">
        <v>444</v>
      </c>
      <c r="E63" s="10" t="s">
        <v>41</v>
      </c>
      <c r="F63" s="10" t="s">
        <v>59</v>
      </c>
      <c r="G63" s="10">
        <v>42.0</v>
      </c>
      <c r="H63" s="10">
        <v>40.0</v>
      </c>
      <c r="I63" s="10">
        <v>42.0</v>
      </c>
      <c r="J63" s="10">
        <v>48.0</v>
      </c>
      <c r="K63" s="10">
        <v>42.0</v>
      </c>
      <c r="L63" s="10">
        <v>48.0</v>
      </c>
      <c r="U63" s="1" t="s">
        <v>445</v>
      </c>
      <c r="V63" s="15" t="s">
        <v>446</v>
      </c>
      <c r="W63" s="16" t="str">
        <f>HYPERLINK("https://drive.google.com/file/d/18plHW8TJH0KL2C7EegoM0CKBqbm57h3U/view?usp=drivesdk","박시원_진로적성검사_2026")</f>
        <v>박시원_진로적성검사_2026</v>
      </c>
      <c r="X63" s="1" t="s">
        <v>404</v>
      </c>
      <c r="AA63" s="1" t="s">
        <v>174</v>
      </c>
      <c r="AB63" s="17">
        <v>46248.405467372686</v>
      </c>
      <c r="AC63" s="17"/>
      <c r="AD63" s="17"/>
      <c r="AE63" s="17"/>
      <c r="AF63" s="17"/>
      <c r="AG63" s="17"/>
      <c r="AH63" s="18"/>
      <c r="AI63" s="17"/>
    </row>
    <row r="64">
      <c r="A64" s="10" t="s">
        <v>447</v>
      </c>
      <c r="B64" s="10">
        <v>2023.0</v>
      </c>
      <c r="C64" s="10" t="s">
        <v>374</v>
      </c>
      <c r="D64" s="10" t="s">
        <v>448</v>
      </c>
      <c r="E64" s="10" t="s">
        <v>43</v>
      </c>
      <c r="F64" s="10" t="s">
        <v>66</v>
      </c>
      <c r="G64" s="10">
        <v>41.0</v>
      </c>
      <c r="H64" s="10">
        <v>44.0</v>
      </c>
      <c r="I64" s="10">
        <v>45.0</v>
      </c>
      <c r="J64" s="10">
        <v>52.0</v>
      </c>
      <c r="K64" s="10">
        <v>41.0</v>
      </c>
      <c r="L64" s="10">
        <v>54.0</v>
      </c>
      <c r="U64" s="1" t="s">
        <v>449</v>
      </c>
      <c r="V64" s="15" t="s">
        <v>450</v>
      </c>
      <c r="W64" s="16" t="str">
        <f>HYPERLINK("https://drive.google.com/file/d/1NgENyf3kmRobCJ21gdkQlV70i6vQ1Gv6/view?usp=drivesdk","조민수_진로적성검사_2026")</f>
        <v>조민수_진로적성검사_2026</v>
      </c>
      <c r="X64" s="1" t="s">
        <v>404</v>
      </c>
      <c r="AA64" s="1" t="s">
        <v>174</v>
      </c>
      <c r="AB64" s="17">
        <v>46248.40549208333</v>
      </c>
      <c r="AC64" s="17"/>
      <c r="AD64" s="17"/>
      <c r="AE64" s="17"/>
      <c r="AF64" s="17"/>
      <c r="AG64" s="17"/>
      <c r="AH64" s="18"/>
      <c r="AI64" s="17"/>
    </row>
    <row r="65">
      <c r="A65" s="10" t="s">
        <v>451</v>
      </c>
      <c r="B65" s="10">
        <v>2025.0</v>
      </c>
      <c r="C65" s="10" t="s">
        <v>296</v>
      </c>
      <c r="D65" s="10" t="s">
        <v>452</v>
      </c>
      <c r="E65" s="10" t="s">
        <v>41</v>
      </c>
      <c r="F65" s="10" t="s">
        <v>59</v>
      </c>
      <c r="G65" s="10">
        <v>26.0</v>
      </c>
      <c r="H65" s="10">
        <v>23.0</v>
      </c>
      <c r="I65" s="10">
        <v>46.0</v>
      </c>
      <c r="J65" s="10">
        <v>52.0</v>
      </c>
      <c r="K65" s="10">
        <v>33.0</v>
      </c>
      <c r="L65" s="10">
        <v>37.0</v>
      </c>
      <c r="U65" s="1" t="s">
        <v>453</v>
      </c>
      <c r="V65" s="15" t="s">
        <v>454</v>
      </c>
      <c r="W65" s="16" t="str">
        <f>HYPERLINK("https://drive.google.com/file/d/1_I49BfvTNOAgcvMjWx23FDMxdSaKHXmt/view?usp=drivesdk","이규현_진로적성검사_2026")</f>
        <v>이규현_진로적성검사_2026</v>
      </c>
      <c r="X65" s="1" t="s">
        <v>404</v>
      </c>
      <c r="AA65" s="1" t="s">
        <v>174</v>
      </c>
      <c r="AB65" s="17">
        <v>46248.40555002315</v>
      </c>
      <c r="AC65" s="17"/>
      <c r="AD65" s="17"/>
      <c r="AE65" s="17"/>
      <c r="AF65" s="17"/>
      <c r="AG65" s="17"/>
      <c r="AH65" s="18"/>
      <c r="AI65" s="17"/>
    </row>
    <row r="66">
      <c r="A66" s="10" t="s">
        <v>455</v>
      </c>
      <c r="B66" s="10">
        <v>2021.0</v>
      </c>
      <c r="C66" s="10" t="s">
        <v>365</v>
      </c>
      <c r="D66" s="10" t="s">
        <v>456</v>
      </c>
      <c r="E66" s="10" t="s">
        <v>41</v>
      </c>
      <c r="F66" s="10" t="s">
        <v>59</v>
      </c>
      <c r="G66" s="10">
        <v>39.0</v>
      </c>
      <c r="H66" s="10">
        <v>40.0</v>
      </c>
      <c r="I66" s="10">
        <v>43.0</v>
      </c>
      <c r="J66" s="10">
        <v>59.0</v>
      </c>
      <c r="K66" s="10">
        <v>47.0</v>
      </c>
      <c r="L66" s="10">
        <v>53.0</v>
      </c>
      <c r="U66" s="1" t="s">
        <v>457</v>
      </c>
      <c r="V66" s="15" t="s">
        <v>458</v>
      </c>
      <c r="W66" s="16" t="str">
        <f>HYPERLINK("https://drive.google.com/file/d/1sa-UvBeqa_zLP3Lb4_lncmwoWeUg-z6R/view?usp=drivesdk","남민석_진로적성검사_2026")</f>
        <v>남민석_진로적성검사_2026</v>
      </c>
      <c r="X66" s="1" t="s">
        <v>459</v>
      </c>
      <c r="AA66" s="1" t="s">
        <v>174</v>
      </c>
      <c r="AB66" s="17">
        <v>46248.405649305554</v>
      </c>
      <c r="AC66" s="17"/>
      <c r="AD66" s="17"/>
      <c r="AE66" s="17"/>
      <c r="AF66" s="17"/>
      <c r="AG66" s="17"/>
      <c r="AH66" s="18"/>
      <c r="AI66" s="17"/>
    </row>
    <row r="67">
      <c r="A67" s="10" t="s">
        <v>460</v>
      </c>
      <c r="B67" s="10">
        <v>2026.0</v>
      </c>
      <c r="C67" s="10" t="s">
        <v>374</v>
      </c>
      <c r="D67" s="10" t="s">
        <v>461</v>
      </c>
      <c r="E67" s="10" t="s">
        <v>42</v>
      </c>
      <c r="F67" s="10" t="s">
        <v>61</v>
      </c>
      <c r="G67" s="10">
        <v>51.0</v>
      </c>
      <c r="H67" s="10">
        <v>46.0</v>
      </c>
      <c r="I67" s="10">
        <v>41.0</v>
      </c>
      <c r="J67" s="10">
        <v>57.0</v>
      </c>
      <c r="K67" s="10">
        <v>59.0</v>
      </c>
      <c r="L67" s="10">
        <v>51.0</v>
      </c>
      <c r="U67" s="1" t="s">
        <v>462</v>
      </c>
      <c r="V67" s="15" t="s">
        <v>463</v>
      </c>
      <c r="W67" s="16" t="str">
        <f>HYPERLINK("https://drive.google.com/file/d/1kHzlLmg9ji8WigoYHARLPTFiSUzjc7WG/view?usp=drivesdk","김민규_진로적성검사_2026")</f>
        <v>김민규_진로적성검사_2026</v>
      </c>
      <c r="X67" s="1" t="s">
        <v>459</v>
      </c>
      <c r="AA67" s="1" t="s">
        <v>174</v>
      </c>
      <c r="AB67" s="17">
        <v>46248.40572403935</v>
      </c>
      <c r="AC67" s="17"/>
      <c r="AD67" s="17"/>
      <c r="AE67" s="17"/>
      <c r="AF67" s="17"/>
      <c r="AG67" s="17"/>
      <c r="AH67" s="18"/>
      <c r="AI67" s="17"/>
    </row>
    <row r="68">
      <c r="A68" s="10" t="s">
        <v>464</v>
      </c>
      <c r="B68" s="10">
        <v>2022.0</v>
      </c>
      <c r="C68" s="10" t="s">
        <v>189</v>
      </c>
      <c r="D68" s="10" t="s">
        <v>465</v>
      </c>
      <c r="E68" s="10" t="s">
        <v>41</v>
      </c>
      <c r="F68" s="10" t="s">
        <v>59</v>
      </c>
      <c r="G68" s="10">
        <v>41.0</v>
      </c>
      <c r="H68" s="10">
        <v>48.0</v>
      </c>
      <c r="I68" s="10">
        <v>45.0</v>
      </c>
      <c r="J68" s="10">
        <v>52.0</v>
      </c>
      <c r="K68" s="10">
        <v>49.0</v>
      </c>
      <c r="L68" s="10">
        <v>37.0</v>
      </c>
      <c r="U68" s="1" t="s">
        <v>466</v>
      </c>
      <c r="V68" s="15" t="s">
        <v>467</v>
      </c>
      <c r="W68" s="16" t="str">
        <f>HYPERLINK("https://drive.google.com/file/d/19s7mi7Duwz61AL4_YlI7HQqEZyN4SWUB/view?usp=drivesdk","윤민식_진로적성검사_2026")</f>
        <v>윤민식_진로적성검사_2026</v>
      </c>
      <c r="X68" s="1" t="s">
        <v>459</v>
      </c>
      <c r="AA68" s="1" t="s">
        <v>174</v>
      </c>
      <c r="AB68" s="17">
        <v>46248.405704606485</v>
      </c>
      <c r="AC68" s="17"/>
      <c r="AD68" s="17"/>
      <c r="AE68" s="17"/>
      <c r="AF68" s="17"/>
      <c r="AG68" s="17"/>
      <c r="AH68" s="18"/>
      <c r="AI68" s="17"/>
    </row>
    <row r="69">
      <c r="A69" s="10" t="s">
        <v>468</v>
      </c>
      <c r="B69" s="10">
        <v>2025.0</v>
      </c>
      <c r="C69" s="10"/>
      <c r="D69" s="10" t="s">
        <v>469</v>
      </c>
      <c r="E69" s="10" t="s">
        <v>42</v>
      </c>
      <c r="F69" s="10" t="s">
        <v>61</v>
      </c>
      <c r="G69" s="10">
        <v>40.0</v>
      </c>
      <c r="H69" s="10">
        <v>56.0</v>
      </c>
      <c r="I69" s="10">
        <v>43.0</v>
      </c>
      <c r="J69" s="10">
        <v>55.0</v>
      </c>
      <c r="K69" s="10">
        <v>60.0</v>
      </c>
      <c r="L69" s="10">
        <v>53.0</v>
      </c>
      <c r="U69" s="1" t="s">
        <v>470</v>
      </c>
      <c r="V69" s="15" t="s">
        <v>471</v>
      </c>
      <c r="W69" s="16" t="str">
        <f>HYPERLINK("https://drive.google.com/file/d/1Iv062prGGweDPA08M1_YeVL8Ico0cGYm/view?usp=drivesdk","이영무_진로적성검사_2026")</f>
        <v>이영무_진로적성검사_2026</v>
      </c>
      <c r="X69" s="1" t="s">
        <v>459</v>
      </c>
      <c r="AA69" s="1" t="s">
        <v>174</v>
      </c>
      <c r="AB69" s="17">
        <v>46248.40589458334</v>
      </c>
      <c r="AC69" s="17"/>
      <c r="AD69" s="17"/>
      <c r="AE69" s="17"/>
      <c r="AF69" s="17"/>
      <c r="AG69" s="17"/>
      <c r="AH69" s="18"/>
      <c r="AI69" s="17"/>
    </row>
    <row r="70">
      <c r="A70" s="10" t="s">
        <v>472</v>
      </c>
      <c r="B70" s="10">
        <v>2024.0</v>
      </c>
      <c r="C70" s="10" t="s">
        <v>173</v>
      </c>
      <c r="D70" s="10" t="s">
        <v>473</v>
      </c>
      <c r="E70" s="10" t="s">
        <v>41</v>
      </c>
      <c r="F70" s="10" t="s">
        <v>59</v>
      </c>
      <c r="G70" s="10">
        <v>33.0</v>
      </c>
      <c r="H70" s="10">
        <v>36.0</v>
      </c>
      <c r="I70" s="10">
        <v>39.0</v>
      </c>
      <c r="J70" s="10">
        <v>56.0</v>
      </c>
      <c r="K70" s="10">
        <v>51.0</v>
      </c>
      <c r="L70" s="10">
        <v>47.0</v>
      </c>
      <c r="U70" s="1" t="s">
        <v>474</v>
      </c>
      <c r="V70" s="15" t="s">
        <v>475</v>
      </c>
      <c r="W70" s="16" t="str">
        <f>HYPERLINK("https://drive.google.com/file/d/1U6JqNzemODipYwsExBa97Rs7KZ3wgPcx/view?usp=drivesdk","임*빈_진로적성검사_2026")</f>
        <v>임*빈_진로적성검사_2026</v>
      </c>
      <c r="X70" s="1" t="s">
        <v>459</v>
      </c>
      <c r="AA70" s="1" t="s">
        <v>174</v>
      </c>
      <c r="AB70" s="17">
        <v>46248.40591825232</v>
      </c>
      <c r="AC70" s="17"/>
      <c r="AD70" s="17"/>
      <c r="AE70" s="17"/>
      <c r="AF70" s="17"/>
      <c r="AG70" s="17"/>
      <c r="AH70" s="18"/>
      <c r="AI70" s="17"/>
    </row>
    <row r="71">
      <c r="A71" s="10" t="s">
        <v>476</v>
      </c>
      <c r="B71" s="10">
        <v>2022.0</v>
      </c>
      <c r="C71" s="10" t="s">
        <v>173</v>
      </c>
      <c r="D71" s="10" t="s">
        <v>477</v>
      </c>
      <c r="E71" s="10" t="s">
        <v>42</v>
      </c>
      <c r="F71" s="10" t="s">
        <v>61</v>
      </c>
      <c r="G71" s="10">
        <v>39.0</v>
      </c>
      <c r="H71" s="10">
        <v>38.0</v>
      </c>
      <c r="I71" s="10">
        <v>32.0</v>
      </c>
      <c r="J71" s="10">
        <v>45.0</v>
      </c>
      <c r="K71" s="10">
        <v>46.0</v>
      </c>
      <c r="L71" s="10">
        <v>42.0</v>
      </c>
      <c r="U71" s="1" t="s">
        <v>478</v>
      </c>
      <c r="V71" s="15" t="s">
        <v>479</v>
      </c>
      <c r="W71" s="16" t="str">
        <f>HYPERLINK("https://drive.google.com/file/d/1T0x5Xn3xVEuqRDMANe2xL9Pqmg_x_vJY/view?usp=drivesdk","김주영_진로적성검사_2026")</f>
        <v>김주영_진로적성검사_2026</v>
      </c>
      <c r="X71" s="1" t="s">
        <v>459</v>
      </c>
      <c r="AA71" s="1" t="s">
        <v>174</v>
      </c>
      <c r="AB71" s="17">
        <v>46248.40594722222</v>
      </c>
      <c r="AC71" s="17"/>
      <c r="AD71" s="17"/>
      <c r="AE71" s="17"/>
      <c r="AF71" s="17"/>
      <c r="AG71" s="17"/>
      <c r="AH71" s="18"/>
      <c r="AI71" s="17"/>
    </row>
    <row r="72">
      <c r="A72" s="10" t="s">
        <v>480</v>
      </c>
      <c r="B72" s="10">
        <v>2022.0</v>
      </c>
      <c r="C72" s="10" t="s">
        <v>189</v>
      </c>
      <c r="D72" s="10" t="s">
        <v>481</v>
      </c>
      <c r="E72" s="10" t="s">
        <v>41</v>
      </c>
      <c r="F72" s="10" t="s">
        <v>59</v>
      </c>
      <c r="G72" s="10">
        <v>37.0</v>
      </c>
      <c r="H72" s="10">
        <v>37.0</v>
      </c>
      <c r="I72" s="10">
        <v>31.0</v>
      </c>
      <c r="J72" s="10">
        <v>46.0</v>
      </c>
      <c r="K72" s="10">
        <v>46.0</v>
      </c>
      <c r="L72" s="10">
        <v>40.0</v>
      </c>
      <c r="U72" s="1" t="s">
        <v>482</v>
      </c>
      <c r="V72" s="15" t="s">
        <v>483</v>
      </c>
      <c r="W72" s="16" t="str">
        <f>HYPERLINK("https://drive.google.com/file/d/17DV1mmy9mIZKk2mU5aa6eJHZZPW2nkMz/view?usp=drivesdk","박정우_진로적성검사_2026")</f>
        <v>박정우_진로적성검사_2026</v>
      </c>
      <c r="X72" s="1" t="s">
        <v>459</v>
      </c>
      <c r="AA72" s="1" t="s">
        <v>174</v>
      </c>
      <c r="AB72" s="17">
        <v>46248.40596039352</v>
      </c>
      <c r="AC72" s="17"/>
      <c r="AD72" s="17"/>
      <c r="AE72" s="17"/>
      <c r="AF72" s="17"/>
      <c r="AG72" s="17"/>
      <c r="AH72" s="18"/>
      <c r="AI72" s="17"/>
    </row>
    <row r="73">
      <c r="A73" s="10" t="s">
        <v>484</v>
      </c>
      <c r="B73" s="10">
        <v>2023.0</v>
      </c>
      <c r="C73" s="10" t="s">
        <v>356</v>
      </c>
      <c r="D73" s="10" t="s">
        <v>485</v>
      </c>
      <c r="E73" s="10" t="s">
        <v>41</v>
      </c>
      <c r="F73" s="10" t="s">
        <v>59</v>
      </c>
      <c r="G73" s="10">
        <v>43.0</v>
      </c>
      <c r="H73" s="10">
        <v>42.0</v>
      </c>
      <c r="I73" s="10">
        <v>35.0</v>
      </c>
      <c r="J73" s="10">
        <v>48.0</v>
      </c>
      <c r="K73" s="10">
        <v>48.0</v>
      </c>
      <c r="L73" s="10">
        <v>41.0</v>
      </c>
      <c r="U73" s="1" t="s">
        <v>486</v>
      </c>
      <c r="V73" s="15" t="s">
        <v>487</v>
      </c>
      <c r="W73" s="16" t="str">
        <f>HYPERLINK("https://drive.google.com/file/d/13vEkJWzcF9XnjtZEvl24qSgR_24rQ2Vz/view?usp=drivesdk","김기현_진로적성검사_2026")</f>
        <v>김기현_진로적성검사_2026</v>
      </c>
      <c r="X73" s="1" t="s">
        <v>459</v>
      </c>
      <c r="AA73" s="1" t="s">
        <v>174</v>
      </c>
      <c r="AB73" s="17">
        <v>46248.40604908565</v>
      </c>
      <c r="AC73" s="17"/>
      <c r="AD73" s="17"/>
      <c r="AE73" s="17"/>
      <c r="AF73" s="17"/>
      <c r="AG73" s="17"/>
      <c r="AH73" s="18"/>
      <c r="AI73" s="17"/>
    </row>
    <row r="74">
      <c r="A74" s="10" t="s">
        <v>488</v>
      </c>
      <c r="B74" s="10">
        <v>2026.0</v>
      </c>
      <c r="C74" s="10" t="s">
        <v>277</v>
      </c>
      <c r="D74" s="10" t="s">
        <v>489</v>
      </c>
      <c r="E74" s="10" t="s">
        <v>35</v>
      </c>
      <c r="F74" s="10" t="s">
        <v>45</v>
      </c>
      <c r="G74" s="10">
        <v>40.0</v>
      </c>
      <c r="H74" s="10">
        <v>27.0</v>
      </c>
      <c r="I74" s="10">
        <v>30.0</v>
      </c>
      <c r="J74" s="10">
        <v>39.0</v>
      </c>
      <c r="K74" s="10">
        <v>36.0</v>
      </c>
      <c r="L74" s="10">
        <v>35.0</v>
      </c>
      <c r="U74" s="1" t="s">
        <v>490</v>
      </c>
      <c r="V74" s="15" t="s">
        <v>491</v>
      </c>
      <c r="W74" s="16" t="str">
        <f>HYPERLINK("https://drive.google.com/file/d/1zG9ZS5Mave37UX7vUAppeVJ3sx2mRGEf/view?usp=drivesdk","이수연_진로적성검사_2026")</f>
        <v>이수연_진로적성검사_2026</v>
      </c>
      <c r="X74" s="1" t="s">
        <v>459</v>
      </c>
      <c r="AA74" s="1" t="s">
        <v>174</v>
      </c>
      <c r="AB74" s="17">
        <v>46248.4059799074</v>
      </c>
      <c r="AC74" s="17"/>
      <c r="AD74" s="17"/>
      <c r="AE74" s="17"/>
      <c r="AF74" s="17"/>
      <c r="AG74" s="17"/>
      <c r="AH74" s="18"/>
      <c r="AI74" s="17"/>
    </row>
    <row r="75">
      <c r="A75" s="10" t="s">
        <v>492</v>
      </c>
      <c r="B75" s="10">
        <v>2026.0</v>
      </c>
      <c r="C75" s="10" t="s">
        <v>340</v>
      </c>
      <c r="D75" s="10" t="s">
        <v>493</v>
      </c>
      <c r="E75" s="10" t="s">
        <v>42</v>
      </c>
      <c r="F75" s="10" t="s">
        <v>61</v>
      </c>
      <c r="G75" s="10">
        <v>36.0</v>
      </c>
      <c r="H75" s="10">
        <v>35.0</v>
      </c>
      <c r="I75" s="10">
        <v>30.0</v>
      </c>
      <c r="J75" s="10">
        <v>36.0</v>
      </c>
      <c r="K75" s="10">
        <v>37.0</v>
      </c>
      <c r="L75" s="10">
        <v>36.0</v>
      </c>
      <c r="U75" s="1" t="s">
        <v>494</v>
      </c>
      <c r="V75" s="15" t="s">
        <v>495</v>
      </c>
      <c r="W75" s="16" t="str">
        <f>HYPERLINK("https://drive.google.com/file/d/1e5cMlLhc4EuLtaUT3piF4gdAAPwFf4cs/view?usp=drivesdk","규규_진로적성검사_2026")</f>
        <v>규규_진로적성검사_2026</v>
      </c>
      <c r="X75" s="1" t="s">
        <v>459</v>
      </c>
      <c r="AA75" s="1" t="s">
        <v>174</v>
      </c>
      <c r="AB75" s="17">
        <v>46248.40611024306</v>
      </c>
      <c r="AC75" s="17"/>
      <c r="AD75" s="17"/>
      <c r="AE75" s="17"/>
      <c r="AF75" s="17"/>
      <c r="AG75" s="17"/>
      <c r="AH75" s="18"/>
      <c r="AI75" s="17"/>
    </row>
    <row r="76">
      <c r="A76" s="10" t="s">
        <v>496</v>
      </c>
      <c r="B76" s="10">
        <v>2026.0</v>
      </c>
      <c r="C76" s="10" t="s">
        <v>277</v>
      </c>
      <c r="D76" s="10" t="s">
        <v>497</v>
      </c>
      <c r="E76" s="10" t="s">
        <v>40</v>
      </c>
      <c r="F76" s="10" t="s">
        <v>58</v>
      </c>
      <c r="G76" s="10">
        <v>28.0</v>
      </c>
      <c r="H76" s="10">
        <v>42.0</v>
      </c>
      <c r="I76" s="10">
        <v>56.0</v>
      </c>
      <c r="J76" s="10">
        <v>52.0</v>
      </c>
      <c r="K76" s="10">
        <v>46.0</v>
      </c>
      <c r="L76" s="10">
        <v>41.0</v>
      </c>
      <c r="U76" s="1" t="s">
        <v>498</v>
      </c>
      <c r="V76" s="15" t="s">
        <v>499</v>
      </c>
      <c r="W76" s="16" t="str">
        <f>HYPERLINK("https://drive.google.com/file/d/1h2dU-tsmwA3ShsvapDQceMRpTAh2jrAd/view?usp=drivesdk","송예건_진로적성검사_2026")</f>
        <v>송예건_진로적성검사_2026</v>
      </c>
      <c r="X76" s="1" t="s">
        <v>459</v>
      </c>
      <c r="AA76" s="1" t="s">
        <v>174</v>
      </c>
      <c r="AB76" s="17">
        <v>46248.40610320602</v>
      </c>
      <c r="AC76" s="17"/>
      <c r="AD76" s="17"/>
      <c r="AE76" s="17"/>
      <c r="AF76" s="17"/>
      <c r="AG76" s="17"/>
      <c r="AH76" s="18"/>
      <c r="AI76" s="17"/>
    </row>
    <row r="77">
      <c r="A77" s="10" t="s">
        <v>500</v>
      </c>
      <c r="B77" s="10">
        <v>2022.0</v>
      </c>
      <c r="C77" s="10" t="s">
        <v>340</v>
      </c>
      <c r="D77" s="10" t="s">
        <v>501</v>
      </c>
      <c r="E77" s="10" t="s">
        <v>43</v>
      </c>
      <c r="F77" s="10" t="s">
        <v>66</v>
      </c>
      <c r="G77" s="10">
        <v>29.0</v>
      </c>
      <c r="H77" s="10">
        <v>41.0</v>
      </c>
      <c r="I77" s="10">
        <v>26.0</v>
      </c>
      <c r="J77" s="10">
        <v>45.0</v>
      </c>
      <c r="K77" s="10">
        <v>51.0</v>
      </c>
      <c r="L77" s="10">
        <v>54.0</v>
      </c>
      <c r="U77" s="1" t="s">
        <v>502</v>
      </c>
      <c r="V77" s="15" t="s">
        <v>503</v>
      </c>
      <c r="W77" s="16" t="str">
        <f>HYPERLINK("https://drive.google.com/file/d/1LOA5Ro0DkYjabz8hWrwdH3oZ71b_OqNH/view?usp=drivesdk","김현지_진로적성검사_2026")</f>
        <v>김현지_진로적성검사_2026</v>
      </c>
      <c r="X77" s="1" t="s">
        <v>459</v>
      </c>
      <c r="AA77" s="1" t="s">
        <v>174</v>
      </c>
      <c r="AB77" s="17">
        <v>46248.40621048611</v>
      </c>
      <c r="AC77" s="17"/>
      <c r="AD77" s="17"/>
      <c r="AE77" s="17"/>
      <c r="AF77" s="17"/>
      <c r="AG77" s="17"/>
      <c r="AH77" s="18"/>
      <c r="AI77" s="17"/>
    </row>
    <row r="78">
      <c r="A78" s="10" t="s">
        <v>504</v>
      </c>
      <c r="B78" s="10">
        <v>2026.0</v>
      </c>
      <c r="C78" s="10" t="s">
        <v>219</v>
      </c>
      <c r="D78" s="10" t="s">
        <v>505</v>
      </c>
      <c r="E78" s="10" t="s">
        <v>41</v>
      </c>
      <c r="F78" s="10" t="s">
        <v>59</v>
      </c>
      <c r="G78" s="10">
        <v>40.0</v>
      </c>
      <c r="H78" s="10">
        <v>36.0</v>
      </c>
      <c r="I78" s="10">
        <v>37.0</v>
      </c>
      <c r="J78" s="10">
        <v>48.0</v>
      </c>
      <c r="K78" s="10">
        <v>38.0</v>
      </c>
      <c r="L78" s="10">
        <v>40.0</v>
      </c>
      <c r="U78" s="1" t="s">
        <v>506</v>
      </c>
      <c r="V78" s="15" t="s">
        <v>507</v>
      </c>
      <c r="W78" s="16" t="str">
        <f>HYPERLINK("https://drive.google.com/file/d/1YOrpBQNDOeioE14__R1sjDlQYhcnZ7sT/view?usp=drivesdk","권영재_진로적성검사_2026")</f>
        <v>권영재_진로적성검사_2026</v>
      </c>
      <c r="X78" s="1" t="s">
        <v>459</v>
      </c>
      <c r="AA78" s="1" t="s">
        <v>174</v>
      </c>
      <c r="AB78" s="17">
        <v>46248.40663</v>
      </c>
      <c r="AC78" s="17"/>
      <c r="AD78" s="17"/>
      <c r="AE78" s="17"/>
      <c r="AF78" s="17"/>
      <c r="AG78" s="17"/>
      <c r="AH78" s="18"/>
      <c r="AI78" s="17"/>
    </row>
    <row r="79">
      <c r="A79" s="10" t="s">
        <v>508</v>
      </c>
      <c r="B79" s="10">
        <v>2023.0</v>
      </c>
      <c r="C79" s="10" t="s">
        <v>189</v>
      </c>
      <c r="D79" s="10" t="s">
        <v>509</v>
      </c>
      <c r="E79" s="10" t="s">
        <v>41</v>
      </c>
      <c r="F79" s="10" t="s">
        <v>59</v>
      </c>
      <c r="G79" s="10">
        <v>45.0</v>
      </c>
      <c r="H79" s="10">
        <v>33.0</v>
      </c>
      <c r="I79" s="10">
        <v>40.0</v>
      </c>
      <c r="J79" s="10">
        <v>49.0</v>
      </c>
      <c r="K79" s="10">
        <v>43.0</v>
      </c>
      <c r="L79" s="10">
        <v>35.0</v>
      </c>
      <c r="U79" s="1" t="s">
        <v>510</v>
      </c>
      <c r="V79" s="15" t="s">
        <v>511</v>
      </c>
      <c r="W79" s="16" t="str">
        <f>HYPERLINK("https://drive.google.com/file/d/1IM_WRIG0h5IOVIINZd73VsPKdnWvEnLU/view?usp=drivesdk","손희원_진로적성검사_2026")</f>
        <v>손희원_진로적성검사_2026</v>
      </c>
      <c r="X79" s="1" t="s">
        <v>512</v>
      </c>
      <c r="AA79" s="1" t="s">
        <v>174</v>
      </c>
      <c r="AB79" s="17">
        <v>46248.40665568287</v>
      </c>
      <c r="AC79" s="17"/>
      <c r="AD79" s="17"/>
      <c r="AE79" s="17"/>
      <c r="AF79" s="17"/>
      <c r="AG79" s="17"/>
      <c r="AH79" s="18"/>
      <c r="AI79" s="17"/>
    </row>
    <row r="80">
      <c r="A80" s="10" t="s">
        <v>513</v>
      </c>
      <c r="B80" s="10">
        <v>2026.0</v>
      </c>
      <c r="C80" s="10" t="s">
        <v>356</v>
      </c>
      <c r="D80" s="10" t="s">
        <v>514</v>
      </c>
      <c r="E80" s="10" t="s">
        <v>42</v>
      </c>
      <c r="F80" s="10" t="s">
        <v>61</v>
      </c>
      <c r="G80" s="10">
        <v>40.0</v>
      </c>
      <c r="H80" s="10">
        <v>44.0</v>
      </c>
      <c r="I80" s="10">
        <v>31.0</v>
      </c>
      <c r="J80" s="10">
        <v>46.0</v>
      </c>
      <c r="K80" s="10">
        <v>50.0</v>
      </c>
      <c r="L80" s="10">
        <v>48.0</v>
      </c>
      <c r="U80" s="1" t="s">
        <v>515</v>
      </c>
      <c r="V80" s="15" t="s">
        <v>516</v>
      </c>
      <c r="W80" s="16" t="str">
        <f>HYPERLINK("https://drive.google.com/file/d/1U5JeJKpDpYsJArA_UBj9x8LzdSe2ZqgW/view?usp=drivesdk","박성수_진로적성검사_2026")</f>
        <v>박성수_진로적성검사_2026</v>
      </c>
      <c r="X80" s="1" t="s">
        <v>512</v>
      </c>
      <c r="AA80" s="1" t="s">
        <v>174</v>
      </c>
      <c r="AB80" s="17">
        <v>46248.40668143518</v>
      </c>
      <c r="AC80" s="17"/>
      <c r="AD80" s="17"/>
      <c r="AE80" s="17"/>
      <c r="AF80" s="17"/>
      <c r="AG80" s="17"/>
      <c r="AH80" s="18"/>
      <c r="AI80" s="17"/>
    </row>
    <row r="81">
      <c r="A81" s="10" t="s">
        <v>517</v>
      </c>
      <c r="B81" s="10">
        <v>2026.0</v>
      </c>
      <c r="C81" s="10" t="s">
        <v>239</v>
      </c>
      <c r="D81" s="10" t="s">
        <v>518</v>
      </c>
      <c r="E81" s="10" t="s">
        <v>41</v>
      </c>
      <c r="F81" s="10" t="s">
        <v>59</v>
      </c>
      <c r="G81" s="10">
        <v>31.0</v>
      </c>
      <c r="H81" s="10">
        <v>34.0</v>
      </c>
      <c r="I81" s="10">
        <v>38.0</v>
      </c>
      <c r="J81" s="10">
        <v>46.0</v>
      </c>
      <c r="K81" s="10">
        <v>43.0</v>
      </c>
      <c r="L81" s="10">
        <v>37.0</v>
      </c>
      <c r="U81" s="1" t="s">
        <v>519</v>
      </c>
      <c r="V81" s="15" t="s">
        <v>520</v>
      </c>
      <c r="W81" s="16" t="str">
        <f>HYPERLINK("https://drive.google.com/file/d/1bgJ5CtVF0VY7APCpWZkb-XBBBW6tpA_C/view?usp=drivesdk","쏘가리_진로적성검사_2026")</f>
        <v>쏘가리_진로적성검사_2026</v>
      </c>
      <c r="X81" s="1" t="s">
        <v>512</v>
      </c>
      <c r="AA81" s="1" t="s">
        <v>174</v>
      </c>
      <c r="AB81" s="17">
        <v>46248.40699607639</v>
      </c>
      <c r="AC81" s="17"/>
      <c r="AD81" s="17"/>
      <c r="AE81" s="17"/>
      <c r="AF81" s="17"/>
      <c r="AG81" s="17"/>
      <c r="AH81" s="18"/>
      <c r="AI81" s="17"/>
    </row>
    <row r="82">
      <c r="A82" s="10" t="s">
        <v>521</v>
      </c>
      <c r="B82" s="10">
        <v>2024.0</v>
      </c>
      <c r="C82" s="10" t="s">
        <v>365</v>
      </c>
      <c r="D82" s="10" t="s">
        <v>522</v>
      </c>
      <c r="E82" s="10" t="s">
        <v>42</v>
      </c>
      <c r="F82" s="10" t="s">
        <v>61</v>
      </c>
      <c r="G82" s="10">
        <v>28.0</v>
      </c>
      <c r="H82" s="10">
        <v>32.0</v>
      </c>
      <c r="I82" s="10">
        <v>31.0</v>
      </c>
      <c r="J82" s="10">
        <v>36.0</v>
      </c>
      <c r="K82" s="10">
        <v>37.0</v>
      </c>
      <c r="L82" s="10">
        <v>36.0</v>
      </c>
      <c r="U82" s="1" t="s">
        <v>523</v>
      </c>
      <c r="V82" s="15" t="s">
        <v>524</v>
      </c>
      <c r="W82" s="16" t="str">
        <f>HYPERLINK("https://drive.google.com/file/d/1rnCzVMVA-58IiojmB5xm97LieqvfdmH4/view?usp=drivesdk","신수호_진로적성검사_2026")</f>
        <v>신수호_진로적성검사_2026</v>
      </c>
      <c r="X82" s="1" t="s">
        <v>525</v>
      </c>
      <c r="AA82" s="1" t="s">
        <v>174</v>
      </c>
      <c r="AB82" s="17">
        <v>46248.407122372686</v>
      </c>
      <c r="AC82" s="17"/>
      <c r="AD82" s="17"/>
      <c r="AE82" s="17"/>
      <c r="AF82" s="17"/>
      <c r="AG82" s="17"/>
      <c r="AH82" s="18"/>
      <c r="AI82" s="17"/>
    </row>
    <row r="83">
      <c r="A83" s="10" t="s">
        <v>526</v>
      </c>
      <c r="B83" s="10">
        <v>2024.0</v>
      </c>
      <c r="C83" s="10" t="s">
        <v>356</v>
      </c>
      <c r="D83" s="10" t="s">
        <v>527</v>
      </c>
      <c r="E83" s="10" t="s">
        <v>37</v>
      </c>
      <c r="F83" s="10" t="s">
        <v>50</v>
      </c>
      <c r="G83" s="10">
        <v>40.0</v>
      </c>
      <c r="H83" s="10">
        <v>55.0</v>
      </c>
      <c r="I83" s="10">
        <v>49.0</v>
      </c>
      <c r="J83" s="10">
        <v>51.0</v>
      </c>
      <c r="K83" s="10">
        <v>43.0</v>
      </c>
      <c r="L83" s="10">
        <v>40.0</v>
      </c>
      <c r="U83" s="1" t="s">
        <v>528</v>
      </c>
      <c r="V83" s="15" t="s">
        <v>529</v>
      </c>
      <c r="W83" s="16" t="str">
        <f>HYPERLINK("https://drive.google.com/file/d/1O21_wMF9bgKcJRyqaS-gQmFLWABVm02n/view?usp=drivesdk","류지원_진로적성검사_2026")</f>
        <v>류지원_진로적성검사_2026</v>
      </c>
      <c r="X83" s="1" t="s">
        <v>525</v>
      </c>
      <c r="AA83" s="1" t="s">
        <v>174</v>
      </c>
      <c r="AB83" s="17">
        <v>46248.40765496528</v>
      </c>
      <c r="AC83" s="17"/>
      <c r="AD83" s="17"/>
      <c r="AE83" s="17"/>
      <c r="AF83" s="17"/>
      <c r="AG83" s="17"/>
      <c r="AH83" s="18"/>
      <c r="AI83" s="17"/>
    </row>
    <row r="84">
      <c r="A84" s="10" t="s">
        <v>530</v>
      </c>
      <c r="B84" s="10">
        <v>2025.0</v>
      </c>
      <c r="C84" s="10" t="s">
        <v>189</v>
      </c>
      <c r="D84" s="10" t="s">
        <v>531</v>
      </c>
      <c r="E84" s="10" t="s">
        <v>40</v>
      </c>
      <c r="F84" s="10" t="s">
        <v>58</v>
      </c>
      <c r="G84" s="10">
        <v>36.0</v>
      </c>
      <c r="H84" s="10">
        <v>38.0</v>
      </c>
      <c r="I84" s="10">
        <v>40.0</v>
      </c>
      <c r="J84" s="10">
        <v>39.0</v>
      </c>
      <c r="K84" s="10">
        <v>39.0</v>
      </c>
      <c r="L84" s="10">
        <v>39.0</v>
      </c>
      <c r="U84" s="1" t="s">
        <v>532</v>
      </c>
      <c r="V84" s="15" t="s">
        <v>533</v>
      </c>
      <c r="W84" s="16" t="str">
        <f>HYPERLINK("https://drive.google.com/file/d/1KhbVRK7dX2oQzPDmqve-Y-D-mxf_zdkQ/view?usp=drivesdk","심유현_진로적성검사_2026")</f>
        <v>심유현_진로적성검사_2026</v>
      </c>
      <c r="X84" s="1" t="s">
        <v>525</v>
      </c>
      <c r="AA84" s="1" t="s">
        <v>174</v>
      </c>
      <c r="AB84" s="17">
        <v>46248.40777431713</v>
      </c>
      <c r="AC84" s="17"/>
      <c r="AD84" s="17"/>
      <c r="AE84" s="17"/>
      <c r="AF84" s="17"/>
      <c r="AG84" s="17"/>
      <c r="AH84" s="18"/>
      <c r="AI84" s="17"/>
    </row>
    <row r="85">
      <c r="A85" s="10" t="s">
        <v>534</v>
      </c>
      <c r="B85" s="10">
        <v>2023.0</v>
      </c>
      <c r="C85" s="10" t="s">
        <v>535</v>
      </c>
      <c r="D85" s="10" t="s">
        <v>536</v>
      </c>
      <c r="E85" s="10" t="s">
        <v>40</v>
      </c>
      <c r="F85" s="10" t="s">
        <v>58</v>
      </c>
      <c r="G85" s="10">
        <v>24.0</v>
      </c>
      <c r="H85" s="10">
        <v>39.0</v>
      </c>
      <c r="I85" s="10">
        <v>48.0</v>
      </c>
      <c r="J85" s="10">
        <v>47.0</v>
      </c>
      <c r="K85" s="10">
        <v>44.0</v>
      </c>
      <c r="L85" s="10">
        <v>40.0</v>
      </c>
      <c r="U85" s="1" t="s">
        <v>537</v>
      </c>
      <c r="V85" s="15" t="s">
        <v>538</v>
      </c>
      <c r="W85" s="16" t="str">
        <f>HYPERLINK("https://drive.google.com/file/d/1okZROikKJa9NlTIcaWbXi_Tmyr8fQvZA/view?usp=drivesdk","데시벨_진로적성검사_2026")</f>
        <v>데시벨_진로적성검사_2026</v>
      </c>
      <c r="X85" s="1" t="s">
        <v>525</v>
      </c>
      <c r="AA85" s="1" t="s">
        <v>174</v>
      </c>
      <c r="AB85" s="17">
        <v>46248.4078074537</v>
      </c>
      <c r="AC85" s="17"/>
      <c r="AD85" s="17"/>
      <c r="AE85" s="17"/>
      <c r="AF85" s="17"/>
      <c r="AG85" s="17"/>
      <c r="AH85" s="18"/>
      <c r="AI85" s="17"/>
    </row>
    <row r="86">
      <c r="A86" s="10" t="s">
        <v>539</v>
      </c>
      <c r="B86" s="10">
        <v>2023.0</v>
      </c>
      <c r="C86" s="10" t="s">
        <v>296</v>
      </c>
      <c r="D86" s="10" t="s">
        <v>540</v>
      </c>
      <c r="E86" s="10" t="s">
        <v>43</v>
      </c>
      <c r="F86" s="10" t="s">
        <v>66</v>
      </c>
      <c r="G86" s="10">
        <v>44.0</v>
      </c>
      <c r="H86" s="10">
        <v>46.0</v>
      </c>
      <c r="I86" s="10">
        <v>49.0</v>
      </c>
      <c r="J86" s="10">
        <v>46.0</v>
      </c>
      <c r="K86" s="10">
        <v>49.0</v>
      </c>
      <c r="L86" s="10">
        <v>50.0</v>
      </c>
      <c r="U86" s="1" t="s">
        <v>541</v>
      </c>
      <c r="V86" s="15" t="s">
        <v>542</v>
      </c>
      <c r="W86" s="16" t="str">
        <f>HYPERLINK("https://drive.google.com/file/d/1zi12ungjPdVEQjpWhefbJm1q3UGKCXkR/view?usp=drivesdk","임경수_진로적성검사_2026")</f>
        <v>임경수_진로적성검사_2026</v>
      </c>
      <c r="X86" s="1" t="s">
        <v>525</v>
      </c>
      <c r="AA86" s="1" t="s">
        <v>174</v>
      </c>
      <c r="AB86" s="17">
        <v>46248.40787765046</v>
      </c>
      <c r="AC86" s="17"/>
      <c r="AD86" s="17"/>
      <c r="AE86" s="17"/>
      <c r="AF86" s="17"/>
      <c r="AG86" s="17"/>
      <c r="AH86" s="18"/>
      <c r="AI86" s="17"/>
    </row>
    <row r="87">
      <c r="A87" s="10" t="s">
        <v>543</v>
      </c>
      <c r="B87" s="10">
        <v>2026.0</v>
      </c>
      <c r="C87" s="10" t="s">
        <v>544</v>
      </c>
      <c r="D87" s="10" t="s">
        <v>545</v>
      </c>
      <c r="E87" s="10" t="s">
        <v>42</v>
      </c>
      <c r="F87" s="10" t="s">
        <v>61</v>
      </c>
      <c r="G87" s="10">
        <v>49.0</v>
      </c>
      <c r="H87" s="10">
        <v>50.0</v>
      </c>
      <c r="I87" s="10">
        <v>33.0</v>
      </c>
      <c r="J87" s="10">
        <v>50.0</v>
      </c>
      <c r="K87" s="10">
        <v>52.0</v>
      </c>
      <c r="L87" s="10">
        <v>49.0</v>
      </c>
      <c r="U87" s="1" t="s">
        <v>546</v>
      </c>
      <c r="V87" s="15" t="s">
        <v>547</v>
      </c>
      <c r="W87" s="16" t="str">
        <f>HYPERLINK("https://drive.google.com/file/d/1CeVO9lT26dsl6j62O-nWMIhNymdj4EM1/view?usp=drivesdk","김홍기_진로적성검사_2026")</f>
        <v>김홍기_진로적성검사_2026</v>
      </c>
      <c r="X87" s="1" t="s">
        <v>548</v>
      </c>
      <c r="AA87" s="1" t="s">
        <v>174</v>
      </c>
      <c r="AB87" s="17">
        <v>46248.40817101852</v>
      </c>
      <c r="AC87" s="17"/>
      <c r="AD87" s="17"/>
      <c r="AE87" s="17"/>
      <c r="AF87" s="17"/>
      <c r="AG87" s="17"/>
      <c r="AH87" s="18"/>
      <c r="AI87" s="17"/>
    </row>
    <row r="88">
      <c r="A88" s="10" t="s">
        <v>549</v>
      </c>
      <c r="B88" s="10">
        <v>2017.0</v>
      </c>
      <c r="C88" s="10" t="s">
        <v>544</v>
      </c>
      <c r="D88" s="10" t="s">
        <v>550</v>
      </c>
      <c r="E88" s="10" t="s">
        <v>35</v>
      </c>
      <c r="F88" s="10" t="s">
        <v>45</v>
      </c>
      <c r="G88" s="10">
        <v>43.0</v>
      </c>
      <c r="H88" s="10">
        <v>43.0</v>
      </c>
      <c r="I88" s="10">
        <v>26.0</v>
      </c>
      <c r="J88" s="10">
        <v>37.0</v>
      </c>
      <c r="K88" s="10">
        <v>32.0</v>
      </c>
      <c r="L88" s="10">
        <v>35.0</v>
      </c>
      <c r="U88" s="1" t="s">
        <v>551</v>
      </c>
      <c r="V88" s="15" t="s">
        <v>552</v>
      </c>
      <c r="W88" s="16" t="str">
        <f>HYPERLINK("https://drive.google.com/file/d/1zmlz2UO0S07Apz_jPcDt5uht1KlIiJfT/view?usp=drivesdk","유광현_진로적성검사_2026")</f>
        <v>유광현_진로적성검사_2026</v>
      </c>
      <c r="X88" s="1" t="s">
        <v>548</v>
      </c>
      <c r="AA88" s="1" t="s">
        <v>174</v>
      </c>
      <c r="AB88" s="17">
        <v>46248.408199074074</v>
      </c>
      <c r="AC88" s="17"/>
      <c r="AD88" s="17"/>
      <c r="AE88" s="17"/>
      <c r="AF88" s="17"/>
      <c r="AG88" s="17"/>
      <c r="AH88" s="18"/>
      <c r="AI88" s="17"/>
    </row>
    <row r="89">
      <c r="A89" s="10" t="s">
        <v>553</v>
      </c>
      <c r="B89" s="10">
        <v>2026.0</v>
      </c>
      <c r="C89" s="10" t="s">
        <v>554</v>
      </c>
      <c r="D89" s="10" t="s">
        <v>555</v>
      </c>
      <c r="E89" s="10" t="s">
        <v>37</v>
      </c>
      <c r="F89" s="10" t="s">
        <v>50</v>
      </c>
      <c r="G89" s="10">
        <v>59.0</v>
      </c>
      <c r="H89" s="10">
        <v>60.0</v>
      </c>
      <c r="I89" s="10">
        <v>41.0</v>
      </c>
      <c r="J89" s="10">
        <v>59.0</v>
      </c>
      <c r="K89" s="10">
        <v>59.0</v>
      </c>
      <c r="L89" s="10">
        <v>58.0</v>
      </c>
      <c r="U89" s="1" t="s">
        <v>556</v>
      </c>
      <c r="V89" s="15" t="s">
        <v>557</v>
      </c>
      <c r="W89" s="16" t="str">
        <f>HYPERLINK("https://drive.google.com/file/d/1vO_BtKLFP4glmTDJhWqGm4RMgKZHYbFB/view?usp=drivesdk","도현준_진로적성검사_2026")</f>
        <v>도현준_진로적성검사_2026</v>
      </c>
      <c r="X89" s="1" t="s">
        <v>548</v>
      </c>
      <c r="AA89" s="1" t="s">
        <v>174</v>
      </c>
      <c r="AB89" s="17">
        <v>46248.40822949074</v>
      </c>
      <c r="AC89" s="17"/>
      <c r="AD89" s="17"/>
      <c r="AE89" s="17"/>
      <c r="AF89" s="17"/>
      <c r="AG89" s="17"/>
      <c r="AH89" s="18"/>
      <c r="AI89" s="17"/>
    </row>
    <row r="90">
      <c r="A90" s="10" t="s">
        <v>558</v>
      </c>
      <c r="B90" s="10">
        <v>2025.0</v>
      </c>
      <c r="C90" s="10" t="s">
        <v>173</v>
      </c>
      <c r="D90" s="10" t="s">
        <v>559</v>
      </c>
      <c r="E90" s="10" t="s">
        <v>41</v>
      </c>
      <c r="F90" s="10" t="s">
        <v>59</v>
      </c>
      <c r="G90" s="10">
        <v>42.0</v>
      </c>
      <c r="H90" s="10">
        <v>43.0</v>
      </c>
      <c r="I90" s="10">
        <v>33.0</v>
      </c>
      <c r="J90" s="10">
        <v>51.0</v>
      </c>
      <c r="K90" s="10">
        <v>49.0</v>
      </c>
      <c r="L90" s="10">
        <v>47.0</v>
      </c>
      <c r="U90" s="1" t="s">
        <v>560</v>
      </c>
      <c r="V90" s="15" t="s">
        <v>561</v>
      </c>
      <c r="W90" s="16" t="str">
        <f>HYPERLINK("https://drive.google.com/file/d/1k1O72Mhg8U0RWxg8ygrKOtDdVBSEUoWr/view?usp=drivesdk","중위 김이삭_진로적성검사_2026")</f>
        <v>중위 김이삭_진로적성검사_2026</v>
      </c>
      <c r="X90" s="1" t="s">
        <v>562</v>
      </c>
      <c r="AA90" s="1" t="s">
        <v>174</v>
      </c>
      <c r="AB90" s="17">
        <v>46248.40918509259</v>
      </c>
      <c r="AC90" s="17"/>
      <c r="AD90" s="17"/>
      <c r="AE90" s="17"/>
      <c r="AF90" s="17"/>
      <c r="AG90" s="17"/>
      <c r="AH90" s="18"/>
      <c r="AI90" s="17"/>
    </row>
    <row r="91">
      <c r="A91" s="10" t="s">
        <v>563</v>
      </c>
      <c r="B91" s="10">
        <v>2024.0</v>
      </c>
      <c r="C91" s="10" t="s">
        <v>219</v>
      </c>
      <c r="D91" s="10" t="s">
        <v>564</v>
      </c>
      <c r="E91" s="10" t="s">
        <v>41</v>
      </c>
      <c r="F91" s="10" t="s">
        <v>59</v>
      </c>
      <c r="G91" s="10">
        <v>27.0</v>
      </c>
      <c r="H91" s="10">
        <v>31.0</v>
      </c>
      <c r="I91" s="10">
        <v>36.0</v>
      </c>
      <c r="J91" s="10">
        <v>40.0</v>
      </c>
      <c r="K91" s="10">
        <v>35.0</v>
      </c>
      <c r="L91" s="10">
        <v>34.0</v>
      </c>
      <c r="U91" s="1" t="s">
        <v>565</v>
      </c>
      <c r="V91" s="15" t="s">
        <v>566</v>
      </c>
      <c r="W91" s="16" t="str">
        <f>HYPERLINK("https://drive.google.com/file/d/1c3bGLFbsDzRziYIzKSuhIvs4GY0lUWFT/view?usp=drivesdk","나0리_진로적성검사_2026")</f>
        <v>나0리_진로적성검사_2026</v>
      </c>
      <c r="X91" s="1" t="s">
        <v>567</v>
      </c>
      <c r="AA91" s="1" t="s">
        <v>174</v>
      </c>
      <c r="AB91" s="17">
        <v>46248.40920741898</v>
      </c>
      <c r="AC91" s="17"/>
      <c r="AD91" s="17"/>
      <c r="AE91" s="17"/>
      <c r="AF91" s="17"/>
      <c r="AG91" s="17"/>
      <c r="AH91" s="18"/>
      <c r="AI91" s="17"/>
    </row>
    <row r="92">
      <c r="A92" s="10" t="s">
        <v>568</v>
      </c>
      <c r="B92" s="10">
        <v>2026.0</v>
      </c>
      <c r="C92" s="10" t="s">
        <v>365</v>
      </c>
      <c r="D92" s="10" t="s">
        <v>569</v>
      </c>
      <c r="E92" s="10" t="s">
        <v>41</v>
      </c>
      <c r="F92" s="10" t="s">
        <v>59</v>
      </c>
      <c r="G92" s="10">
        <v>37.0</v>
      </c>
      <c r="H92" s="10">
        <v>34.0</v>
      </c>
      <c r="I92" s="10">
        <v>37.0</v>
      </c>
      <c r="J92" s="10">
        <v>42.0</v>
      </c>
      <c r="K92" s="10">
        <v>35.0</v>
      </c>
      <c r="L92" s="10">
        <v>37.0</v>
      </c>
      <c r="U92" s="1" t="s">
        <v>570</v>
      </c>
      <c r="V92" s="15" t="s">
        <v>571</v>
      </c>
      <c r="W92" s="16" t="str">
        <f>HYPERLINK("https://drive.google.com/file/d/1B9g60_qBq1kKdjVEUr_EbuRXyC1G1ptK/view?usp=drivesdk","송지환_진로적성검사_2026")</f>
        <v>송지환_진로적성검사_2026</v>
      </c>
      <c r="X92" s="1" t="s">
        <v>567</v>
      </c>
      <c r="AA92" s="1" t="s">
        <v>174</v>
      </c>
      <c r="AB92" s="17">
        <v>46248.40933189815</v>
      </c>
      <c r="AC92" s="17"/>
      <c r="AD92" s="17"/>
      <c r="AE92" s="17"/>
      <c r="AF92" s="17"/>
      <c r="AG92" s="17"/>
      <c r="AH92" s="18"/>
      <c r="AI92" s="17"/>
    </row>
    <row r="93">
      <c r="A93" s="10" t="s">
        <v>572</v>
      </c>
      <c r="B93" s="10">
        <v>2020.0</v>
      </c>
      <c r="C93" s="10" t="s">
        <v>365</v>
      </c>
      <c r="D93" s="10" t="s">
        <v>573</v>
      </c>
      <c r="E93" s="10" t="s">
        <v>41</v>
      </c>
      <c r="F93" s="10" t="s">
        <v>59</v>
      </c>
      <c r="G93" s="10">
        <v>37.0</v>
      </c>
      <c r="H93" s="10">
        <v>24.0</v>
      </c>
      <c r="I93" s="10">
        <v>32.0</v>
      </c>
      <c r="J93" s="10">
        <v>39.0</v>
      </c>
      <c r="K93" s="10">
        <v>31.0</v>
      </c>
      <c r="L93" s="10">
        <v>28.0</v>
      </c>
      <c r="U93" s="1" t="s">
        <v>574</v>
      </c>
      <c r="V93" s="15" t="s">
        <v>575</v>
      </c>
      <c r="W93" s="16" t="str">
        <f>HYPERLINK("https://drive.google.com/file/d/1l7h8GxH8FxHUSFyZ2HnHf5VWapvKSnFU/view?usp=drivesdk","염태균_진로적성검사_2026")</f>
        <v>염태균_진로적성검사_2026</v>
      </c>
      <c r="X93" s="1" t="s">
        <v>576</v>
      </c>
      <c r="AA93" s="1" t="s">
        <v>174</v>
      </c>
      <c r="AB93" s="17">
        <v>46248.40978025463</v>
      </c>
      <c r="AC93" s="17"/>
      <c r="AD93" s="17"/>
      <c r="AE93" s="17"/>
      <c r="AF93" s="17"/>
      <c r="AG93" s="17"/>
      <c r="AH93" s="18"/>
      <c r="AI93" s="17"/>
    </row>
    <row r="94">
      <c r="A94" s="10" t="s">
        <v>577</v>
      </c>
      <c r="B94" s="10">
        <v>2024.0</v>
      </c>
      <c r="C94" s="10" t="s">
        <v>219</v>
      </c>
      <c r="D94" s="10" t="s">
        <v>578</v>
      </c>
      <c r="E94" s="10" t="s">
        <v>42</v>
      </c>
      <c r="F94" s="10" t="s">
        <v>61</v>
      </c>
      <c r="G94" s="10">
        <v>41.0</v>
      </c>
      <c r="H94" s="10">
        <v>43.0</v>
      </c>
      <c r="I94" s="10">
        <v>36.0</v>
      </c>
      <c r="J94" s="10">
        <v>44.0</v>
      </c>
      <c r="K94" s="10">
        <v>46.0</v>
      </c>
      <c r="L94" s="10">
        <v>45.0</v>
      </c>
      <c r="U94" s="1" t="s">
        <v>579</v>
      </c>
      <c r="V94" s="15" t="s">
        <v>580</v>
      </c>
      <c r="W94" s="16" t="str">
        <f>HYPERLINK("https://drive.google.com/file/d/1fpVXc84wDvcGvpXhaDDYqGNDNNOCO7LB/view?usp=drivesdk","박수훈_진로적성검사_2026")</f>
        <v>박수훈_진로적성검사_2026</v>
      </c>
      <c r="X94" s="1" t="s">
        <v>576</v>
      </c>
      <c r="AA94" s="1" t="s">
        <v>174</v>
      </c>
      <c r="AB94" s="17">
        <v>46248.41049337963</v>
      </c>
      <c r="AC94" s="17"/>
      <c r="AD94" s="17"/>
      <c r="AE94" s="17"/>
      <c r="AF94" s="17"/>
      <c r="AG94" s="17"/>
      <c r="AH94" s="18"/>
      <c r="AI94" s="17"/>
    </row>
    <row r="95">
      <c r="A95" s="10" t="s">
        <v>581</v>
      </c>
      <c r="B95" s="10">
        <v>2026.0</v>
      </c>
      <c r="C95" s="10" t="s">
        <v>245</v>
      </c>
      <c r="D95" s="10" t="s">
        <v>582</v>
      </c>
      <c r="E95" s="10" t="s">
        <v>41</v>
      </c>
      <c r="F95" s="10" t="s">
        <v>59</v>
      </c>
      <c r="G95" s="10">
        <v>40.0</v>
      </c>
      <c r="H95" s="10">
        <v>38.0</v>
      </c>
      <c r="I95" s="10">
        <v>49.0</v>
      </c>
      <c r="J95" s="10">
        <v>58.0</v>
      </c>
      <c r="K95" s="10">
        <v>50.0</v>
      </c>
      <c r="L95" s="10">
        <v>45.0</v>
      </c>
      <c r="U95" s="1" t="s">
        <v>583</v>
      </c>
      <c r="V95" s="15" t="s">
        <v>584</v>
      </c>
      <c r="W95" s="16" t="str">
        <f>HYPERLINK("https://drive.google.com/file/d/1XbWZA1RbgCnIyXuyavCCADbkJjLutlwX/view?usp=drivesdk","송민지_진로적성검사_2026")</f>
        <v>송민지_진로적성검사_2026</v>
      </c>
      <c r="X95" s="1" t="s">
        <v>576</v>
      </c>
      <c r="AA95" s="1" t="s">
        <v>174</v>
      </c>
      <c r="AB95" s="17">
        <v>46248.410514953706</v>
      </c>
      <c r="AC95" s="17"/>
      <c r="AD95" s="17"/>
      <c r="AE95" s="17"/>
      <c r="AF95" s="17"/>
      <c r="AG95" s="17"/>
      <c r="AH95" s="18"/>
      <c r="AI95" s="17"/>
    </row>
    <row r="96">
      <c r="A96" s="10" t="s">
        <v>585</v>
      </c>
      <c r="B96" s="10">
        <v>2025.0</v>
      </c>
      <c r="C96" s="10" t="s">
        <v>365</v>
      </c>
      <c r="D96" s="10" t="s">
        <v>586</v>
      </c>
      <c r="E96" s="10" t="s">
        <v>41</v>
      </c>
      <c r="F96" s="10" t="s">
        <v>59</v>
      </c>
      <c r="G96" s="10">
        <v>31.0</v>
      </c>
      <c r="H96" s="10">
        <v>31.0</v>
      </c>
      <c r="I96" s="10">
        <v>29.0</v>
      </c>
      <c r="J96" s="10">
        <v>33.0</v>
      </c>
      <c r="K96" s="10">
        <v>32.0</v>
      </c>
      <c r="L96" s="10">
        <v>30.0</v>
      </c>
      <c r="U96" s="1" t="s">
        <v>587</v>
      </c>
      <c r="V96" s="15" t="s">
        <v>588</v>
      </c>
      <c r="W96" s="16" t="str">
        <f>HYPERLINK("https://drive.google.com/file/d/1z9ys61YkZLmCfkgOCkZX5Vnv2coqpLHn/view?usp=drivesdk","한희원_진로적성검사_2026")</f>
        <v>한희원_진로적성검사_2026</v>
      </c>
      <c r="X96" s="1" t="s">
        <v>589</v>
      </c>
      <c r="AA96" s="1" t="s">
        <v>174</v>
      </c>
      <c r="AB96" s="17">
        <v>46248.41222237269</v>
      </c>
      <c r="AC96" s="17"/>
      <c r="AD96" s="17"/>
      <c r="AE96" s="17"/>
      <c r="AF96" s="17"/>
      <c r="AG96" s="17"/>
      <c r="AH96" s="18"/>
      <c r="AI96" s="17"/>
    </row>
    <row r="97">
      <c r="A97" s="10" t="s">
        <v>590</v>
      </c>
      <c r="B97" s="10">
        <v>2023.0</v>
      </c>
      <c r="C97" s="10" t="s">
        <v>591</v>
      </c>
      <c r="D97" s="10" t="s">
        <v>592</v>
      </c>
      <c r="E97" s="10" t="s">
        <v>41</v>
      </c>
      <c r="F97" s="10" t="s">
        <v>59</v>
      </c>
      <c r="G97" s="10">
        <v>36.0</v>
      </c>
      <c r="H97" s="10">
        <v>37.0</v>
      </c>
      <c r="I97" s="10">
        <v>46.0</v>
      </c>
      <c r="J97" s="10">
        <v>60.0</v>
      </c>
      <c r="K97" s="10">
        <v>47.0</v>
      </c>
      <c r="L97" s="10">
        <v>52.0</v>
      </c>
      <c r="U97" s="1" t="s">
        <v>593</v>
      </c>
      <c r="V97" s="15" t="s">
        <v>594</v>
      </c>
      <c r="W97" s="16" t="str">
        <f>HYPERLINK("https://drive.google.com/file/d/1sLXi4Emb62BqZxVV7-85I5cXMzzFtEHZ/view?usp=drivesdk","이윤주_진로적성검사_2026")</f>
        <v>이윤주_진로적성검사_2026</v>
      </c>
      <c r="X97" s="1" t="s">
        <v>595</v>
      </c>
      <c r="AA97" s="1" t="s">
        <v>174</v>
      </c>
      <c r="AB97" s="17">
        <v>46248.419674143515</v>
      </c>
      <c r="AC97" s="17"/>
      <c r="AD97" s="17"/>
      <c r="AE97" s="17"/>
      <c r="AF97" s="17"/>
      <c r="AG97" s="17"/>
      <c r="AH97" s="18"/>
      <c r="AI97" s="17"/>
    </row>
    <row r="98">
      <c r="A98" s="10" t="s">
        <v>596</v>
      </c>
      <c r="B98" s="10">
        <v>2022.0</v>
      </c>
      <c r="C98" s="10" t="s">
        <v>239</v>
      </c>
      <c r="D98" s="10" t="s">
        <v>597</v>
      </c>
      <c r="E98" s="10" t="s">
        <v>41</v>
      </c>
      <c r="F98" s="10" t="s">
        <v>59</v>
      </c>
      <c r="G98" s="10">
        <v>38.0</v>
      </c>
      <c r="H98" s="10">
        <v>41.0</v>
      </c>
      <c r="I98" s="10">
        <v>32.0</v>
      </c>
      <c r="J98" s="10">
        <v>43.0</v>
      </c>
      <c r="K98" s="10">
        <v>39.0</v>
      </c>
      <c r="L98" s="10">
        <v>41.0</v>
      </c>
      <c r="U98" s="1" t="s">
        <v>598</v>
      </c>
      <c r="V98" s="15" t="s">
        <v>599</v>
      </c>
      <c r="W98" s="16" t="str">
        <f>HYPERLINK("https://drive.google.com/file/d/1QrpeyKB9ZvOvkW658jxe0FZaT1j2F5rh/view?usp=drivesdk","허성원_진로적성검사_2026")</f>
        <v>허성원_진로적성검사_2026</v>
      </c>
      <c r="X98" s="1" t="s">
        <v>600</v>
      </c>
      <c r="AA98" s="1" t="s">
        <v>174</v>
      </c>
      <c r="AB98" s="17">
        <v>46248.42129407407</v>
      </c>
      <c r="AC98" s="17"/>
      <c r="AD98" s="17"/>
      <c r="AE98" s="17"/>
      <c r="AF98" s="17"/>
      <c r="AG98" s="17"/>
      <c r="AH98" s="18"/>
      <c r="AI98" s="17"/>
    </row>
    <row r="99">
      <c r="A99" s="10" t="s">
        <v>601</v>
      </c>
      <c r="B99" s="10">
        <v>2022.0</v>
      </c>
      <c r="C99" s="10" t="s">
        <v>374</v>
      </c>
      <c r="D99" s="10" t="s">
        <v>602</v>
      </c>
      <c r="E99" s="10" t="s">
        <v>35</v>
      </c>
      <c r="F99" s="10" t="s">
        <v>45</v>
      </c>
      <c r="G99" s="10">
        <v>56.0</v>
      </c>
      <c r="H99" s="10">
        <v>41.0</v>
      </c>
      <c r="I99" s="10">
        <v>46.0</v>
      </c>
      <c r="J99" s="10">
        <v>53.0</v>
      </c>
      <c r="K99" s="10">
        <v>52.0</v>
      </c>
      <c r="L99" s="10">
        <v>48.0</v>
      </c>
      <c r="U99" s="1" t="s">
        <v>603</v>
      </c>
      <c r="V99" s="15" t="s">
        <v>604</v>
      </c>
      <c r="W99" s="16" t="str">
        <f>HYPERLINK("https://drive.google.com/file/d/17WCn0GQVJeGRipeuYhJISBNe8A0-VZTV/view?usp=drivesdk","김태호_진로적성검사_2026")</f>
        <v>김태호_진로적성검사_2026</v>
      </c>
      <c r="X99" s="1" t="s">
        <v>605</v>
      </c>
      <c r="AA99" s="1" t="s">
        <v>174</v>
      </c>
      <c r="AB99" s="17">
        <v>46248.42326899305</v>
      </c>
      <c r="AC99" s="17"/>
      <c r="AD99" s="17"/>
      <c r="AE99" s="17"/>
      <c r="AF99" s="17"/>
      <c r="AG99" s="17"/>
      <c r="AH99" s="18"/>
      <c r="AI99" s="17"/>
    </row>
    <row r="100">
      <c r="A100" s="10" t="s">
        <v>606</v>
      </c>
      <c r="B100" s="10">
        <v>2024.0</v>
      </c>
      <c r="C100" s="10" t="s">
        <v>277</v>
      </c>
      <c r="D100" s="10" t="s">
        <v>607</v>
      </c>
      <c r="E100" s="10" t="s">
        <v>41</v>
      </c>
      <c r="F100" s="10" t="s">
        <v>59</v>
      </c>
      <c r="G100" s="10">
        <v>36.0</v>
      </c>
      <c r="H100" s="10">
        <v>40.0</v>
      </c>
      <c r="I100" s="10">
        <v>24.0</v>
      </c>
      <c r="J100" s="10">
        <v>50.0</v>
      </c>
      <c r="K100" s="10">
        <v>45.0</v>
      </c>
      <c r="L100" s="10">
        <v>46.0</v>
      </c>
      <c r="U100" s="1" t="s">
        <v>608</v>
      </c>
      <c r="V100" s="15" t="s">
        <v>609</v>
      </c>
      <c r="W100" s="16" t="str">
        <f>HYPERLINK("https://drive.google.com/file/d/1zVxrLMfBxalMNLhXqMQuhi9lJQRRtYFI/view?usp=drivesdk","정진우_진로적성검사_2026")</f>
        <v>정진우_진로적성검사_2026</v>
      </c>
      <c r="X100" s="1" t="s">
        <v>610</v>
      </c>
      <c r="AA100" s="1" t="s">
        <v>174</v>
      </c>
      <c r="AB100" s="17">
        <v>46248.42625224537</v>
      </c>
      <c r="AC100" s="17"/>
      <c r="AD100" s="17"/>
      <c r="AE100" s="17"/>
      <c r="AF100" s="17"/>
      <c r="AG100" s="17"/>
      <c r="AH100" s="18"/>
      <c r="AI100" s="17"/>
    </row>
    <row r="101">
      <c r="A101" s="10" t="s">
        <v>611</v>
      </c>
      <c r="B101" s="10" t="s">
        <v>612</v>
      </c>
      <c r="C101" s="10" t="s">
        <v>612</v>
      </c>
      <c r="D101" s="10" t="s">
        <v>613</v>
      </c>
      <c r="E101" s="10" t="s">
        <v>40</v>
      </c>
      <c r="F101" s="10" t="s">
        <v>58</v>
      </c>
      <c r="G101" s="10">
        <v>38.0</v>
      </c>
      <c r="H101" s="10">
        <v>40.0</v>
      </c>
      <c r="I101" s="10">
        <v>42.0</v>
      </c>
      <c r="J101" s="10">
        <v>39.0</v>
      </c>
      <c r="K101" s="10">
        <v>36.0</v>
      </c>
      <c r="L101" s="10">
        <v>36.0</v>
      </c>
      <c r="U101" s="1" t="s">
        <v>614</v>
      </c>
      <c r="V101" s="15" t="s">
        <v>615</v>
      </c>
      <c r="W101" s="16" t="str">
        <f>HYPERLINK("https://drive.google.com/file/d/1w6uw4poVMwo7oiqY6UAE729t17DFA6eB/view?usp=drivesdk","ㅇㅇ_진로적성검사_2026")</f>
        <v>ㅇㅇ_진로적성검사_2026</v>
      </c>
      <c r="X101" s="1" t="s">
        <v>616</v>
      </c>
      <c r="AA101" s="1" t="s">
        <v>174</v>
      </c>
      <c r="AB101" s="17">
        <v>46248.51619916667</v>
      </c>
      <c r="AC101" s="17"/>
      <c r="AD101" s="17"/>
      <c r="AE101" s="17"/>
      <c r="AF101" s="17"/>
      <c r="AG101" s="17"/>
      <c r="AH101" s="18"/>
      <c r="AI101" s="17"/>
    </row>
    <row r="102">
      <c r="A102" s="10" t="s">
        <v>224</v>
      </c>
      <c r="B102" s="10" t="s">
        <v>617</v>
      </c>
      <c r="C102" s="10" t="s">
        <v>617</v>
      </c>
      <c r="D102" s="10" t="s">
        <v>613</v>
      </c>
      <c r="E102" s="10" t="s">
        <v>43</v>
      </c>
      <c r="F102" s="10" t="s">
        <v>66</v>
      </c>
      <c r="G102" s="10">
        <v>18.0</v>
      </c>
      <c r="H102" s="10">
        <v>17.0</v>
      </c>
      <c r="I102" s="10">
        <v>17.0</v>
      </c>
      <c r="J102" s="10">
        <v>18.0</v>
      </c>
      <c r="K102" s="10">
        <v>17.0</v>
      </c>
      <c r="L102" s="10">
        <v>19.0</v>
      </c>
      <c r="U102" s="1" t="s">
        <v>618</v>
      </c>
      <c r="V102" s="15" t="s">
        <v>619</v>
      </c>
      <c r="W102" s="16" t="str">
        <f>HYPERLINK("https://drive.google.com/file/d/14iJojeCeuJ7Sn-ISDMR6c44l3Iz6A0e-/view?usp=drivesdk","이재완_진로적성검사_2026")</f>
        <v>이재완_진로적성검사_2026</v>
      </c>
      <c r="X102" s="1" t="s">
        <v>589</v>
      </c>
      <c r="AA102" s="1" t="s">
        <v>174</v>
      </c>
      <c r="AB102" s="17">
        <v>46248.522472349534</v>
      </c>
      <c r="AC102" s="17"/>
      <c r="AD102" s="17"/>
      <c r="AE102" s="17"/>
      <c r="AF102" s="17"/>
      <c r="AG102" s="17"/>
      <c r="AH102" s="18"/>
      <c r="AI102" s="17"/>
    </row>
    <row r="103">
      <c r="A103" s="10" t="s">
        <v>620</v>
      </c>
      <c r="B103" s="10">
        <v>2025.0</v>
      </c>
      <c r="C103" s="10"/>
      <c r="D103" s="10" t="s">
        <v>190</v>
      </c>
      <c r="E103" s="10" t="s">
        <v>41</v>
      </c>
      <c r="F103" s="10" t="s">
        <v>59</v>
      </c>
      <c r="G103" s="10">
        <v>15.0</v>
      </c>
      <c r="H103" s="10">
        <v>14.0</v>
      </c>
      <c r="I103" s="10">
        <v>16.0</v>
      </c>
      <c r="J103" s="10">
        <v>17.0</v>
      </c>
      <c r="K103" s="10">
        <v>13.0</v>
      </c>
      <c r="L103" s="10">
        <v>16.0</v>
      </c>
      <c r="U103" s="1" t="s">
        <v>621</v>
      </c>
      <c r="V103" s="15" t="s">
        <v>622</v>
      </c>
      <c r="W103" s="16" t="str">
        <f>HYPERLINK("https://drive.google.com/file/d/1D2Vd026hjrVfzcKNUWY0HJA35w7I9TUA/view?usp=drivesdk","80 상병 황우진_진로적성검사_2026")</f>
        <v>80 상병 황우진_진로적성검사_2026</v>
      </c>
      <c r="X103" s="1" t="s">
        <v>623</v>
      </c>
      <c r="AA103" s="1" t="s">
        <v>174</v>
      </c>
      <c r="AB103" s="17">
        <v>46248.538476851856</v>
      </c>
      <c r="AC103" s="17"/>
      <c r="AD103" s="17"/>
      <c r="AE103" s="17"/>
      <c r="AF103" s="17"/>
      <c r="AG103" s="17"/>
      <c r="AH103" s="18"/>
      <c r="AI103" s="17"/>
    </row>
    <row r="104">
      <c r="A104" s="10" t="s">
        <v>624</v>
      </c>
      <c r="B104" s="10">
        <v>2020.0</v>
      </c>
      <c r="C104" s="10" t="s">
        <v>194</v>
      </c>
      <c r="D104" s="10" t="s">
        <v>165</v>
      </c>
      <c r="E104" s="10" t="s">
        <v>43</v>
      </c>
      <c r="F104" s="10" t="s">
        <v>66</v>
      </c>
      <c r="G104" s="10">
        <v>29.0</v>
      </c>
      <c r="H104" s="10">
        <v>37.0</v>
      </c>
      <c r="I104" s="10">
        <v>37.0</v>
      </c>
      <c r="J104" s="10">
        <v>33.0</v>
      </c>
      <c r="K104" s="10">
        <v>36.0</v>
      </c>
      <c r="L104" s="10">
        <v>40.0</v>
      </c>
      <c r="U104" s="1" t="s">
        <v>625</v>
      </c>
      <c r="V104" s="15" t="s">
        <v>626</v>
      </c>
      <c r="W104" s="16" t="str">
        <f>HYPERLINK("https://drive.google.com/file/d/1fOuH1hm4yHUxk_suXS4iARsNujz2jRhD/view?usp=drivesdk","초토_진로적성검사_2026")</f>
        <v>초토_진로적성검사_2026</v>
      </c>
      <c r="X104" s="1" t="s">
        <v>627</v>
      </c>
      <c r="AA104" s="1" t="s">
        <v>174</v>
      </c>
      <c r="AB104" s="17">
        <v>46248.539145682866</v>
      </c>
      <c r="AC104" s="17"/>
      <c r="AD104" s="17"/>
      <c r="AE104" s="17"/>
      <c r="AF104" s="17"/>
      <c r="AG104" s="17"/>
      <c r="AH104" s="18"/>
      <c r="AI104" s="17"/>
    </row>
    <row r="105">
      <c r="A105" s="10" t="s">
        <v>628</v>
      </c>
      <c r="B105" s="10">
        <v>2027.0</v>
      </c>
      <c r="C105" s="10" t="s">
        <v>277</v>
      </c>
      <c r="D105" s="10" t="s">
        <v>629</v>
      </c>
      <c r="E105" s="10" t="s">
        <v>42</v>
      </c>
      <c r="F105" s="10" t="s">
        <v>61</v>
      </c>
      <c r="G105" s="10">
        <v>45.0</v>
      </c>
      <c r="H105" s="10">
        <v>36.0</v>
      </c>
      <c r="I105" s="10">
        <v>34.0</v>
      </c>
      <c r="J105" s="10">
        <v>59.0</v>
      </c>
      <c r="K105" s="10">
        <v>60.0</v>
      </c>
      <c r="L105" s="10">
        <v>55.0</v>
      </c>
      <c r="U105" s="1" t="s">
        <v>630</v>
      </c>
      <c r="V105" s="15" t="s">
        <v>631</v>
      </c>
      <c r="W105" s="16" t="str">
        <f>HYPERLINK("https://drive.google.com/file/d/1l1Zdjs_CVCgPfHlGE2GloCchloUteciF/view?usp=drivesdk","배종연_진로적성검사_2026")</f>
        <v>배종연_진로적성검사_2026</v>
      </c>
      <c r="X105" s="1" t="s">
        <v>632</v>
      </c>
      <c r="AA105" s="1" t="s">
        <v>174</v>
      </c>
      <c r="AB105" s="17">
        <v>46248.72040677084</v>
      </c>
      <c r="AC105" s="17"/>
      <c r="AD105" s="17"/>
      <c r="AE105" s="17"/>
      <c r="AF105" s="17"/>
      <c r="AG105" s="17"/>
      <c r="AH105" s="18"/>
      <c r="AI105" s="17"/>
    </row>
    <row r="106">
      <c r="A106" s="10" t="s">
        <v>633</v>
      </c>
      <c r="B106" s="10">
        <v>2023.0</v>
      </c>
      <c r="C106" s="10" t="s">
        <v>340</v>
      </c>
      <c r="D106" s="10" t="s">
        <v>634</v>
      </c>
      <c r="E106" s="10" t="s">
        <v>37</v>
      </c>
      <c r="F106" s="10" t="s">
        <v>50</v>
      </c>
      <c r="G106" s="10">
        <v>36.0</v>
      </c>
      <c r="H106" s="10">
        <v>37.0</v>
      </c>
      <c r="I106" s="10">
        <v>34.0</v>
      </c>
      <c r="J106" s="10">
        <v>36.0</v>
      </c>
      <c r="K106" s="10">
        <v>36.0</v>
      </c>
      <c r="L106" s="10">
        <v>36.0</v>
      </c>
      <c r="U106" s="1" t="s">
        <v>635</v>
      </c>
      <c r="V106" s="15" t="s">
        <v>636</v>
      </c>
      <c r="W106" s="16" t="str">
        <f>HYPERLINK("https://drive.google.com/file/d/1NGGrKKrPps9lZuQROANVdnFiU4NIfYqM/view?usp=drivesdk","ㅁㅜㄴ_진로적성검사_2026")</f>
        <v>ㅁㅜㄴ_진로적성검사_2026</v>
      </c>
      <c r="X106" s="1" t="s">
        <v>637</v>
      </c>
      <c r="AA106" s="1" t="s">
        <v>174</v>
      </c>
      <c r="AB106" s="17">
        <v>46248.90787298611</v>
      </c>
      <c r="AC106" s="17"/>
      <c r="AD106" s="17"/>
      <c r="AE106" s="17"/>
      <c r="AF106" s="17"/>
      <c r="AG106" s="17"/>
      <c r="AH106" s="18"/>
      <c r="AI106" s="17"/>
    </row>
    <row r="107">
      <c r="A107" s="10" t="s">
        <v>638</v>
      </c>
      <c r="B107" s="10">
        <v>2007.0</v>
      </c>
      <c r="C107" s="10" t="s">
        <v>239</v>
      </c>
      <c r="D107" s="10" t="s">
        <v>639</v>
      </c>
      <c r="E107" s="10" t="s">
        <v>41</v>
      </c>
      <c r="F107" s="10" t="s">
        <v>59</v>
      </c>
      <c r="G107" s="10">
        <v>48.0</v>
      </c>
      <c r="H107" s="10">
        <v>47.0</v>
      </c>
      <c r="I107" s="10">
        <v>42.0</v>
      </c>
      <c r="J107" s="10">
        <v>55.0</v>
      </c>
      <c r="K107" s="10">
        <v>55.0</v>
      </c>
      <c r="L107" s="10">
        <v>48.0</v>
      </c>
      <c r="U107" s="1" t="s">
        <v>640</v>
      </c>
      <c r="V107" s="15" t="s">
        <v>641</v>
      </c>
      <c r="W107" s="16" t="str">
        <f>HYPERLINK("https://drive.google.com/file/d/1GiUvbhClWHXKZxKchCklUckqAiD1C2__/view?usp=drivesdk","김건형_진로적성검사_2026")</f>
        <v>김건형_진로적성검사_2026</v>
      </c>
      <c r="X107" s="1" t="s">
        <v>642</v>
      </c>
      <c r="AA107" s="1" t="s">
        <v>174</v>
      </c>
      <c r="AB107" s="17">
        <v>46248.93433234954</v>
      </c>
      <c r="AC107" s="17"/>
      <c r="AD107" s="17"/>
      <c r="AE107" s="17"/>
      <c r="AF107" s="17"/>
      <c r="AG107" s="17"/>
      <c r="AH107" s="18"/>
      <c r="AI107" s="17"/>
    </row>
    <row r="108">
      <c r="A108" s="10" t="s">
        <v>643</v>
      </c>
      <c r="B108" s="10" t="s">
        <v>644</v>
      </c>
      <c r="C108" s="10" t="s">
        <v>356</v>
      </c>
      <c r="D108" s="10" t="s">
        <v>645</v>
      </c>
      <c r="E108" s="10" t="s">
        <v>41</v>
      </c>
      <c r="F108" s="10" t="s">
        <v>59</v>
      </c>
      <c r="G108" s="10">
        <v>43.0</v>
      </c>
      <c r="H108" s="10">
        <v>51.0</v>
      </c>
      <c r="I108" s="10">
        <v>51.0</v>
      </c>
      <c r="J108" s="10">
        <v>57.0</v>
      </c>
      <c r="K108" s="10">
        <v>48.0</v>
      </c>
      <c r="L108" s="10">
        <v>47.0</v>
      </c>
      <c r="U108" s="1" t="s">
        <v>646</v>
      </c>
      <c r="V108" s="15" t="s">
        <v>647</v>
      </c>
      <c r="W108" s="16" t="str">
        <f>HYPERLINK("https://drive.google.com/file/d/1chlEt1xdlLYFfBRb4fbGu3SVVAt1lHsP/view?usp=drivesdk","최다윤_진로적성검사_2026")</f>
        <v>최다윤_진로적성검사_2026</v>
      </c>
      <c r="X108" s="1" t="s">
        <v>648</v>
      </c>
      <c r="AA108" s="1" t="s">
        <v>174</v>
      </c>
      <c r="AB108" s="17">
        <v>46249.71900886574</v>
      </c>
      <c r="AC108" s="17"/>
      <c r="AD108" s="17"/>
      <c r="AE108" s="17"/>
      <c r="AF108" s="17"/>
      <c r="AG108" s="17"/>
      <c r="AH108" s="18"/>
      <c r="AI108" s="17"/>
    </row>
    <row r="109">
      <c r="A109" s="10" t="s">
        <v>295</v>
      </c>
      <c r="B109" s="10">
        <v>1989.0</v>
      </c>
      <c r="C109" s="10" t="s">
        <v>649</v>
      </c>
      <c r="D109" s="10" t="s">
        <v>297</v>
      </c>
      <c r="E109" s="10" t="s">
        <v>42</v>
      </c>
      <c r="F109" s="10" t="s">
        <v>61</v>
      </c>
      <c r="G109" s="10">
        <v>52.0</v>
      </c>
      <c r="H109" s="10">
        <v>50.0</v>
      </c>
      <c r="I109" s="10">
        <v>50.0</v>
      </c>
      <c r="J109" s="10">
        <v>52.0</v>
      </c>
      <c r="K109" s="10">
        <v>56.0</v>
      </c>
      <c r="L109" s="10">
        <v>47.0</v>
      </c>
      <c r="U109" s="1" t="s">
        <v>650</v>
      </c>
      <c r="V109" s="15" t="s">
        <v>651</v>
      </c>
      <c r="W109" s="16" t="str">
        <f>HYPERLINK("https://drive.google.com/file/d/178gqxuhYs8KeJ2WT-Y4BEWvV7CX_ZttK/view?usp=drivesdk","최승준_진로적성검사_2026")</f>
        <v>최승준_진로적성검사_2026</v>
      </c>
      <c r="X109" s="1" t="s">
        <v>652</v>
      </c>
      <c r="AA109" s="1" t="s">
        <v>174</v>
      </c>
      <c r="AB109" s="17">
        <v>46252.590805740736</v>
      </c>
      <c r="AC109" s="17"/>
      <c r="AD109" s="17"/>
      <c r="AE109" s="17"/>
      <c r="AF109" s="17"/>
      <c r="AG109" s="17"/>
      <c r="AH109" s="18"/>
      <c r="AI109" s="17"/>
    </row>
    <row r="110">
      <c r="A110" s="10" t="s">
        <v>653</v>
      </c>
      <c r="B110" s="10">
        <v>2015.0</v>
      </c>
      <c r="C110" s="10" t="s">
        <v>321</v>
      </c>
      <c r="D110" s="10" t="s">
        <v>251</v>
      </c>
      <c r="E110" s="10" t="s">
        <v>41</v>
      </c>
      <c r="F110" s="10" t="s">
        <v>59</v>
      </c>
      <c r="G110" s="10">
        <v>33.0</v>
      </c>
      <c r="H110" s="10">
        <v>32.0</v>
      </c>
      <c r="I110" s="10">
        <v>34.0</v>
      </c>
      <c r="J110" s="10">
        <v>39.0</v>
      </c>
      <c r="K110" s="10">
        <v>33.0</v>
      </c>
      <c r="L110" s="10">
        <v>37.0</v>
      </c>
      <c r="U110" s="1" t="s">
        <v>654</v>
      </c>
      <c r="V110" s="15" t="s">
        <v>655</v>
      </c>
      <c r="W110" s="16" t="str">
        <f>HYPERLINK("https://drive.google.com/file/d/12037xr9l32oPzxjtGgSnrCxl-EvBFijA/view?usp=drivesdk","김규훈_진로적성검사_2026")</f>
        <v>김규훈_진로적성검사_2026</v>
      </c>
      <c r="X110" s="1" t="s">
        <v>656</v>
      </c>
      <c r="AA110" s="1" t="s">
        <v>174</v>
      </c>
      <c r="AB110" s="17">
        <v>46252.60788589121</v>
      </c>
      <c r="AC110" s="17"/>
      <c r="AD110" s="17"/>
      <c r="AE110" s="17"/>
      <c r="AF110" s="17"/>
      <c r="AG110" s="17"/>
      <c r="AH110" s="18"/>
      <c r="AI110" s="17"/>
    </row>
    <row r="111">
      <c r="A111" s="10" t="s">
        <v>207</v>
      </c>
      <c r="B111" s="10">
        <v>2025.0</v>
      </c>
      <c r="C111" s="10" t="s">
        <v>321</v>
      </c>
      <c r="D111" s="10" t="s">
        <v>240</v>
      </c>
      <c r="E111" s="10" t="s">
        <v>35</v>
      </c>
      <c r="F111" s="10" t="s">
        <v>45</v>
      </c>
      <c r="G111" s="10">
        <v>54.0</v>
      </c>
      <c r="H111" s="10">
        <v>47.0</v>
      </c>
      <c r="I111" s="10">
        <v>51.0</v>
      </c>
      <c r="J111" s="10">
        <v>52.0</v>
      </c>
      <c r="K111" s="10">
        <v>52.0</v>
      </c>
      <c r="L111" s="10">
        <v>51.0</v>
      </c>
      <c r="U111" s="1" t="s">
        <v>657</v>
      </c>
      <c r="V111" s="15" t="s">
        <v>658</v>
      </c>
      <c r="W111" s="16" t="str">
        <f>HYPERLINK("https://drive.google.com/file/d/1KPNKrQkXY4Tg_yIcXboX0PoHvUYQ6EAy/view?usp=drivesdk","테스트_진로적성검사_2026")</f>
        <v>테스트_진로적성검사_2026</v>
      </c>
      <c r="X111" s="1" t="s">
        <v>656</v>
      </c>
      <c r="AA111" s="1" t="s">
        <v>174</v>
      </c>
      <c r="AB111" s="17">
        <v>46252.60861574074</v>
      </c>
      <c r="AC111" s="17"/>
      <c r="AD111" s="17"/>
      <c r="AE111" s="17"/>
      <c r="AF111" s="17"/>
      <c r="AG111" s="17"/>
      <c r="AH111" s="18"/>
      <c r="AI111" s="17"/>
    </row>
    <row r="112">
      <c r="A112" s="10" t="s">
        <v>659</v>
      </c>
      <c r="B112" s="10">
        <v>2025.0</v>
      </c>
      <c r="C112" s="10" t="s">
        <v>225</v>
      </c>
      <c r="D112" s="10" t="s">
        <v>660</v>
      </c>
      <c r="E112" s="10" t="s">
        <v>42</v>
      </c>
      <c r="F112" s="10" t="s">
        <v>61</v>
      </c>
      <c r="G112" s="10">
        <v>38.0</v>
      </c>
      <c r="H112" s="10">
        <v>56.0</v>
      </c>
      <c r="I112" s="10">
        <v>50.0</v>
      </c>
      <c r="J112" s="10">
        <v>53.0</v>
      </c>
      <c r="K112" s="10">
        <v>57.0</v>
      </c>
      <c r="L112" s="10">
        <v>52.0</v>
      </c>
      <c r="U112" s="1" t="s">
        <v>661</v>
      </c>
      <c r="V112" s="15" t="s">
        <v>662</v>
      </c>
      <c r="W112" s="16" t="str">
        <f>HYPERLINK("https://drive.google.com/file/d/1I6lJeXlxrih1_AfvG1v0ySaWfK7fl2XA/view?usp=drivesdk","함윤성_진로적성검사_2026")</f>
        <v>함윤성_진로적성검사_2026</v>
      </c>
      <c r="X112" s="1" t="s">
        <v>663</v>
      </c>
      <c r="AA112" s="1" t="s">
        <v>174</v>
      </c>
      <c r="AB112" s="17">
        <v>46254.41761989583</v>
      </c>
      <c r="AC112" s="17"/>
      <c r="AD112" s="17"/>
      <c r="AE112" s="17"/>
      <c r="AF112" s="17"/>
      <c r="AG112" s="17"/>
      <c r="AH112" s="18"/>
      <c r="AI112" s="17"/>
    </row>
    <row r="113">
      <c r="A113" s="10" t="s">
        <v>207</v>
      </c>
      <c r="B113" s="10">
        <v>2025.0</v>
      </c>
      <c r="C113" s="10" t="s">
        <v>239</v>
      </c>
      <c r="D113" s="10" t="s">
        <v>240</v>
      </c>
      <c r="E113" s="10" t="s">
        <v>41</v>
      </c>
      <c r="F113" s="10" t="s">
        <v>59</v>
      </c>
      <c r="G113" s="10">
        <v>51.0</v>
      </c>
      <c r="H113" s="10">
        <v>49.0</v>
      </c>
      <c r="I113" s="10">
        <v>47.0</v>
      </c>
      <c r="J113" s="10">
        <v>53.0</v>
      </c>
      <c r="K113" s="10">
        <v>46.0</v>
      </c>
      <c r="L113" s="10">
        <v>48.0</v>
      </c>
      <c r="U113" s="1" t="s">
        <v>664</v>
      </c>
      <c r="V113" s="15" t="s">
        <v>665</v>
      </c>
      <c r="W113" s="16" t="str">
        <f>HYPERLINK("https://drive.google.com/file/d/1QwjLwZipM3007yrrixSlOLLIGX3OQF7P/view?usp=drivesdk","테스트_진로적성검사_2026")</f>
        <v>테스트_진로적성검사_2026</v>
      </c>
      <c r="X113" s="1" t="s">
        <v>666</v>
      </c>
      <c r="AA113" s="1" t="s">
        <v>174</v>
      </c>
      <c r="AB113" s="17">
        <v>46254.55045311342</v>
      </c>
      <c r="AC113" s="17"/>
      <c r="AD113" s="17"/>
      <c r="AE113" s="17"/>
      <c r="AF113" s="17"/>
      <c r="AG113" s="17"/>
      <c r="AH113" s="18"/>
      <c r="AI113" s="17"/>
    </row>
    <row r="114">
      <c r="A114" s="10" t="s">
        <v>653</v>
      </c>
      <c r="B114" s="10">
        <v>2015.0</v>
      </c>
      <c r="C114" s="10" t="s">
        <v>321</v>
      </c>
      <c r="D114" s="10" t="s">
        <v>251</v>
      </c>
      <c r="E114" s="10" t="s">
        <v>43</v>
      </c>
      <c r="F114" s="10" t="s">
        <v>66</v>
      </c>
      <c r="G114" s="10">
        <v>30.0</v>
      </c>
      <c r="H114" s="10">
        <v>29.0</v>
      </c>
      <c r="I114" s="10">
        <v>29.0</v>
      </c>
      <c r="J114" s="10">
        <v>32.0</v>
      </c>
      <c r="K114" s="10">
        <v>28.0</v>
      </c>
      <c r="L114" s="10">
        <v>33.0</v>
      </c>
      <c r="U114" s="1" t="s">
        <v>667</v>
      </c>
      <c r="V114" s="15" t="s">
        <v>668</v>
      </c>
      <c r="W114" s="16" t="str">
        <f>HYPERLINK("https://drive.google.com/file/d/1T_t7MeU1oMIm0tUIEldectxAXP8R-pR3/view?usp=drivesdk","김규훈_진로적성검사_2026")</f>
        <v>김규훈_진로적성검사_2026</v>
      </c>
      <c r="X114" s="1" t="s">
        <v>666</v>
      </c>
      <c r="AA114" s="1" t="s">
        <v>174</v>
      </c>
      <c r="AB114" s="17">
        <v>46254.55048388889</v>
      </c>
      <c r="AC114" s="17"/>
      <c r="AD114" s="17"/>
      <c r="AE114" s="17"/>
      <c r="AF114" s="17"/>
      <c r="AG114" s="17"/>
      <c r="AH114" s="18"/>
      <c r="AI114" s="17"/>
    </row>
    <row r="115">
      <c r="A115" s="10" t="s">
        <v>244</v>
      </c>
      <c r="B115" s="10">
        <v>2025.0</v>
      </c>
      <c r="C115" s="10" t="s">
        <v>245</v>
      </c>
      <c r="D115" s="10" t="s">
        <v>246</v>
      </c>
      <c r="E115" s="10" t="s">
        <v>35</v>
      </c>
      <c r="F115" s="10" t="s">
        <v>45</v>
      </c>
      <c r="G115" s="10">
        <v>48.0</v>
      </c>
      <c r="H115" s="10">
        <v>48.0</v>
      </c>
      <c r="I115" s="10">
        <v>48.0</v>
      </c>
      <c r="J115" s="10">
        <v>48.0</v>
      </c>
      <c r="K115" s="10">
        <v>48.0</v>
      </c>
      <c r="L115" s="10">
        <v>48.0</v>
      </c>
      <c r="U115" s="1" t="s">
        <v>669</v>
      </c>
      <c r="V115" s="15" t="s">
        <v>670</v>
      </c>
      <c r="W115" s="16" t="str">
        <f>HYPERLINK("https://drive.google.com/file/d/1pCfrGgci6ssi-QUUilIamnIwznMwWLfT/view?usp=drivesdk","전태은_진로적성검사_2026")</f>
        <v>전태은_진로적성검사_2026</v>
      </c>
      <c r="X115" s="1" t="s">
        <v>671</v>
      </c>
      <c r="AA115" s="1" t="s">
        <v>174</v>
      </c>
      <c r="AB115" s="17">
        <v>46254.55200321759</v>
      </c>
      <c r="AC115" s="17"/>
      <c r="AD115" s="17"/>
      <c r="AE115" s="17"/>
      <c r="AF115" s="17"/>
      <c r="AG115" s="17"/>
      <c r="AH115" s="18"/>
      <c r="AI115" s="17"/>
    </row>
    <row r="116">
      <c r="A116" s="10" t="s">
        <v>672</v>
      </c>
      <c r="B116" s="10">
        <v>2009.0</v>
      </c>
      <c r="C116" s="10" t="s">
        <v>213</v>
      </c>
      <c r="D116" s="10" t="s">
        <v>673</v>
      </c>
      <c r="E116" s="10" t="s">
        <v>43</v>
      </c>
      <c r="F116" s="10" t="s">
        <v>66</v>
      </c>
      <c r="G116" s="10">
        <v>52.0</v>
      </c>
      <c r="H116" s="10">
        <v>58.0</v>
      </c>
      <c r="I116" s="10">
        <v>55.0</v>
      </c>
      <c r="J116" s="10">
        <v>59.0</v>
      </c>
      <c r="K116" s="10">
        <v>59.0</v>
      </c>
      <c r="L116" s="10">
        <v>60.0</v>
      </c>
      <c r="U116" s="1" t="s">
        <v>674</v>
      </c>
      <c r="V116" s="15" t="s">
        <v>675</v>
      </c>
      <c r="W116" s="16" t="str">
        <f>HYPERLINK("https://drive.google.com/file/d/1qzLj1H08vpkXGlf8LI-ywYzptEfPDrti/view?usp=drivesdk","윤용선_진로적성검사_2026")</f>
        <v>윤용선_진로적성검사_2026</v>
      </c>
      <c r="X116" s="1" t="s">
        <v>676</v>
      </c>
      <c r="AA116" s="1" t="s">
        <v>174</v>
      </c>
      <c r="AB116" s="17">
        <v>46254.55786516204</v>
      </c>
      <c r="AC116" s="17"/>
      <c r="AD116" s="17"/>
      <c r="AE116" s="17"/>
      <c r="AF116" s="17"/>
      <c r="AG116" s="17"/>
      <c r="AH116" s="18"/>
      <c r="AI116" s="17"/>
    </row>
    <row r="117">
      <c r="A117" s="10" t="s">
        <v>677</v>
      </c>
      <c r="B117" s="10">
        <v>2004.0</v>
      </c>
      <c r="C117" s="10" t="s">
        <v>213</v>
      </c>
      <c r="D117" s="10" t="s">
        <v>678</v>
      </c>
      <c r="E117" s="10" t="s">
        <v>41</v>
      </c>
      <c r="F117" s="10" t="s">
        <v>59</v>
      </c>
      <c r="G117" s="10">
        <v>41.0</v>
      </c>
      <c r="H117" s="10">
        <v>37.0</v>
      </c>
      <c r="I117" s="10">
        <v>31.0</v>
      </c>
      <c r="J117" s="10">
        <v>46.0</v>
      </c>
      <c r="K117" s="10">
        <v>44.0</v>
      </c>
      <c r="L117" s="10">
        <v>46.0</v>
      </c>
      <c r="U117" s="1" t="s">
        <v>679</v>
      </c>
      <c r="V117" s="15" t="s">
        <v>680</v>
      </c>
      <c r="W117" s="16" t="str">
        <f>HYPERLINK("https://drive.google.com/file/d/19aemKnWmFgMPaODFlmuNnIQDN5RWSkaq/view?usp=drivesdk","박성웅_진로적성검사_2026")</f>
        <v>박성웅_진로적성검사_2026</v>
      </c>
      <c r="X117" s="1" t="s">
        <v>681</v>
      </c>
      <c r="AA117" s="1" t="s">
        <v>174</v>
      </c>
      <c r="AB117" s="17">
        <v>46259.38569186343</v>
      </c>
      <c r="AC117" s="17"/>
      <c r="AD117" s="17"/>
      <c r="AE117" s="17"/>
      <c r="AF117" s="17"/>
      <c r="AG117" s="17"/>
      <c r="AH117" s="18"/>
      <c r="AI117" s="17"/>
    </row>
    <row r="118">
      <c r="A118" s="10" t="s">
        <v>682</v>
      </c>
      <c r="B118" s="10">
        <v>2018.0</v>
      </c>
      <c r="C118" s="10" t="s">
        <v>379</v>
      </c>
      <c r="D118" s="10" t="s">
        <v>683</v>
      </c>
      <c r="E118" s="10" t="s">
        <v>35</v>
      </c>
      <c r="F118" s="10" t="s">
        <v>45</v>
      </c>
      <c r="G118" s="10">
        <v>45.0</v>
      </c>
      <c r="H118" s="10">
        <v>45.0</v>
      </c>
      <c r="I118" s="10">
        <v>40.0</v>
      </c>
      <c r="J118" s="10">
        <v>41.0</v>
      </c>
      <c r="K118" s="10">
        <v>42.0</v>
      </c>
      <c r="L118" s="10">
        <v>42.0</v>
      </c>
      <c r="U118" s="1" t="s">
        <v>684</v>
      </c>
      <c r="V118" s="15" t="s">
        <v>685</v>
      </c>
      <c r="W118" s="16" t="str">
        <f>HYPERLINK("https://drive.google.com/file/d/1kAXMeMDTxOWT6GVms3Imw7ntnSEGCPej/view?usp=drivesdk","우노_진로적성검사_2026")</f>
        <v>우노_진로적성검사_2026</v>
      </c>
      <c r="X118" s="1" t="s">
        <v>686</v>
      </c>
      <c r="AA118" s="1" t="s">
        <v>174</v>
      </c>
      <c r="AB118" s="17">
        <v>46259.54817034722</v>
      </c>
      <c r="AC118" s="17"/>
      <c r="AD118" s="17"/>
      <c r="AE118" s="17"/>
      <c r="AF118" s="17"/>
      <c r="AG118" s="17"/>
      <c r="AH118" s="18"/>
      <c r="AI118" s="17"/>
    </row>
    <row r="119">
      <c r="A119" s="10" t="s">
        <v>207</v>
      </c>
      <c r="B119" s="10">
        <v>2006.0</v>
      </c>
      <c r="C119" s="10" t="s">
        <v>225</v>
      </c>
      <c r="D119" s="10" t="s">
        <v>226</v>
      </c>
      <c r="E119" s="10" t="s">
        <v>35</v>
      </c>
      <c r="F119" s="10" t="s">
        <v>45</v>
      </c>
      <c r="G119" s="10">
        <v>12.0</v>
      </c>
      <c r="H119" s="10">
        <v>12.0</v>
      </c>
      <c r="I119" s="10">
        <v>12.0</v>
      </c>
      <c r="J119" s="10">
        <v>12.0</v>
      </c>
      <c r="K119" s="10">
        <v>12.0</v>
      </c>
      <c r="L119" s="10">
        <v>12.0</v>
      </c>
      <c r="U119" s="1" t="s">
        <v>687</v>
      </c>
      <c r="V119" s="15" t="s">
        <v>688</v>
      </c>
      <c r="W119" s="16" t="str">
        <f>HYPERLINK("https://drive.google.com/file/d/18sw6S2YUfXGcHqdkXyjtQweHelVj_MZr/view?usp=drivesdk","테스트_진로적성검사_2026")</f>
        <v>테스트_진로적성검사_2026</v>
      </c>
      <c r="X119" s="1" t="s">
        <v>689</v>
      </c>
      <c r="AA119" s="1" t="s">
        <v>174</v>
      </c>
      <c r="AB119" s="17">
        <v>46259.6252328125</v>
      </c>
      <c r="AC119" s="17"/>
      <c r="AD119" s="17"/>
      <c r="AE119" s="17"/>
      <c r="AF119" s="17"/>
      <c r="AG119" s="17"/>
      <c r="AH119" s="18"/>
      <c r="AI119" s="17"/>
    </row>
    <row r="120">
      <c r="A120" s="10" t="s">
        <v>224</v>
      </c>
      <c r="B120" s="10">
        <v>2006.0</v>
      </c>
      <c r="C120" s="10" t="s">
        <v>225</v>
      </c>
      <c r="D120" s="10" t="s">
        <v>226</v>
      </c>
      <c r="E120" s="10" t="s">
        <v>35</v>
      </c>
      <c r="F120" s="10" t="s">
        <v>45</v>
      </c>
      <c r="G120" s="10">
        <v>12.0</v>
      </c>
      <c r="H120" s="10">
        <v>12.0</v>
      </c>
      <c r="I120" s="10">
        <v>12.0</v>
      </c>
      <c r="J120" s="10">
        <v>12.0</v>
      </c>
      <c r="K120" s="10">
        <v>12.0</v>
      </c>
      <c r="L120" s="10">
        <v>12.0</v>
      </c>
      <c r="U120" s="1" t="s">
        <v>690</v>
      </c>
      <c r="V120" s="15" t="s">
        <v>691</v>
      </c>
      <c r="W120" s="16" t="str">
        <f>HYPERLINK("https://drive.google.com/file/d/1dWbyOdUtmn8GwiFhbr2mEZIIuVUFM0oy/view?usp=drivesdk","이재완_진로적성검사_2026")</f>
        <v>이재완_진로적성검사_2026</v>
      </c>
      <c r="X120" s="1" t="s">
        <v>689</v>
      </c>
      <c r="AA120" s="1" t="s">
        <v>174</v>
      </c>
      <c r="AB120" s="17">
        <v>46259.62525575231</v>
      </c>
      <c r="AC120" s="17"/>
      <c r="AD120" s="17"/>
      <c r="AE120" s="17"/>
      <c r="AF120" s="17"/>
      <c r="AG120" s="17"/>
      <c r="AH120" s="18"/>
      <c r="AI120" s="17"/>
    </row>
    <row r="121">
      <c r="A121" s="10" t="s">
        <v>692</v>
      </c>
      <c r="B121" s="10">
        <v>2006.0</v>
      </c>
      <c r="C121" s="10" t="s">
        <v>693</v>
      </c>
      <c r="D121" s="10" t="s">
        <v>226</v>
      </c>
      <c r="E121" s="10" t="s">
        <v>35</v>
      </c>
      <c r="F121" s="10" t="s">
        <v>45</v>
      </c>
      <c r="G121" s="10">
        <v>12.0</v>
      </c>
      <c r="H121" s="10">
        <v>12.0</v>
      </c>
      <c r="I121" s="10">
        <v>12.0</v>
      </c>
      <c r="J121" s="10">
        <v>12.0</v>
      </c>
      <c r="K121" s="10">
        <v>12.0</v>
      </c>
      <c r="L121" s="10">
        <v>12.0</v>
      </c>
      <c r="U121" s="1" t="s">
        <v>694</v>
      </c>
      <c r="V121" s="15" t="s">
        <v>695</v>
      </c>
      <c r="W121" s="16" t="str">
        <f>HYPERLINK("https://drive.google.com/file/d/1wlAeN1QFkD1AJvGo_1JCEAdTnLAluCIC/view?usp=drivesdk","테스트_10_진로적성검사_2026")</f>
        <v>테스트_10_진로적성검사_2026</v>
      </c>
      <c r="X121" s="1" t="s">
        <v>696</v>
      </c>
      <c r="AA121" s="1" t="s">
        <v>174</v>
      </c>
      <c r="AB121" s="17">
        <v>46259.62941524306</v>
      </c>
      <c r="AC121" s="17"/>
      <c r="AD121" s="17"/>
      <c r="AE121" s="17"/>
      <c r="AF121" s="17"/>
      <c r="AG121" s="17"/>
      <c r="AH121" s="18"/>
      <c r="AI121" s="17"/>
    </row>
    <row r="122">
      <c r="A122" s="10" t="s">
        <v>163</v>
      </c>
      <c r="B122" s="10">
        <v>2020.0</v>
      </c>
      <c r="C122" s="10" t="s">
        <v>164</v>
      </c>
      <c r="D122" s="10" t="s">
        <v>165</v>
      </c>
      <c r="E122" s="10" t="s">
        <v>37</v>
      </c>
      <c r="F122" s="10" t="s">
        <v>50</v>
      </c>
      <c r="G122" s="10">
        <v>33.0</v>
      </c>
      <c r="H122" s="10">
        <v>39.0</v>
      </c>
      <c r="I122" s="10">
        <v>33.0</v>
      </c>
      <c r="J122" s="10">
        <v>30.0</v>
      </c>
      <c r="K122" s="10">
        <v>33.0</v>
      </c>
      <c r="L122" s="10">
        <v>36.0</v>
      </c>
      <c r="U122" s="1" t="s">
        <v>697</v>
      </c>
      <c r="V122" s="15" t="s">
        <v>698</v>
      </c>
      <c r="W122" s="16" t="str">
        <f>HYPERLINK("https://drive.google.com/file/d/13l8_fPmFSz3DedsRouOQ9r_0Tm4atuB5/view?usp=drivesdk","최종혁_진로적성검사_2026")</f>
        <v>최종혁_진로적성검사_2026</v>
      </c>
      <c r="X122" s="1" t="s">
        <v>699</v>
      </c>
      <c r="AA122" s="1" t="s">
        <v>174</v>
      </c>
      <c r="AB122" s="17">
        <v>46260.38822115741</v>
      </c>
      <c r="AC122" s="17"/>
      <c r="AD122" s="17"/>
      <c r="AE122" s="17"/>
      <c r="AF122" s="17"/>
      <c r="AG122" s="17"/>
      <c r="AH122" s="18"/>
      <c r="AI122" s="17"/>
    </row>
    <row r="123">
      <c r="A123" s="10" t="s">
        <v>700</v>
      </c>
      <c r="B123" s="10">
        <v>2006.0</v>
      </c>
      <c r="C123" s="10" t="s">
        <v>701</v>
      </c>
      <c r="D123" s="10" t="s">
        <v>226</v>
      </c>
      <c r="E123" s="10" t="s">
        <v>35</v>
      </c>
      <c r="F123" s="10" t="s">
        <v>45</v>
      </c>
      <c r="G123" s="10">
        <v>12.0</v>
      </c>
      <c r="H123" s="10">
        <v>12.0</v>
      </c>
      <c r="I123" s="10">
        <v>12.0</v>
      </c>
      <c r="J123" s="10">
        <v>12.0</v>
      </c>
      <c r="K123" s="10">
        <v>12.0</v>
      </c>
      <c r="L123" s="10">
        <v>12.0</v>
      </c>
      <c r="U123" s="1" t="s">
        <v>702</v>
      </c>
      <c r="V123" s="15" t="s">
        <v>703</v>
      </c>
      <c r="W123" s="16" t="str">
        <f>HYPERLINK("https://drive.google.com/file/d/1v0beUArZ1565TJ8ima9bevRQoJziAlL0/view?usp=drivesdk","test_1_진로적성검사_2026")</f>
        <v>test_1_진로적성검사_2026</v>
      </c>
      <c r="X123" s="1" t="s">
        <v>704</v>
      </c>
      <c r="AB123" s="17"/>
      <c r="AC123" s="1" t="s">
        <v>705</v>
      </c>
      <c r="AD123" s="17"/>
      <c r="AE123" s="17"/>
      <c r="AF123" s="17"/>
      <c r="AG123" s="1" t="s">
        <v>706</v>
      </c>
      <c r="AH123" s="18">
        <v>1.0</v>
      </c>
      <c r="AI123" s="17"/>
    </row>
    <row r="124">
      <c r="A124" s="10" t="s">
        <v>707</v>
      </c>
      <c r="B124" s="10">
        <v>2002.0</v>
      </c>
      <c r="C124" s="10" t="s">
        <v>296</v>
      </c>
      <c r="D124" s="10" t="s">
        <v>708</v>
      </c>
      <c r="E124" s="10" t="s">
        <v>35</v>
      </c>
      <c r="F124" s="10" t="s">
        <v>45</v>
      </c>
      <c r="G124" s="10">
        <v>55.0</v>
      </c>
      <c r="H124" s="10">
        <v>55.0</v>
      </c>
      <c r="I124" s="10">
        <v>46.0</v>
      </c>
      <c r="J124" s="10">
        <v>55.0</v>
      </c>
      <c r="K124" s="10">
        <v>55.0</v>
      </c>
      <c r="L124" s="10">
        <v>53.0</v>
      </c>
      <c r="U124" s="1" t="s">
        <v>709</v>
      </c>
      <c r="V124" s="15" t="s">
        <v>710</v>
      </c>
      <c r="W124" s="16" t="str">
        <f>HYPERLINK("https://drive.google.com/file/d/1gjrbtbvkwOvtQDj6Kci5QsJfNbyciMBn/view?usp=drivesdk","박재서_진로적성검사_2026")</f>
        <v>박재서_진로적성검사_2026</v>
      </c>
      <c r="X124" s="1" t="s">
        <v>711</v>
      </c>
      <c r="AB124" s="17"/>
      <c r="AC124" s="1" t="s">
        <v>705</v>
      </c>
      <c r="AD124" s="17"/>
      <c r="AE124" s="17"/>
      <c r="AF124" s="17"/>
      <c r="AG124" s="1" t="s">
        <v>706</v>
      </c>
      <c r="AH124" s="18">
        <v>1.0</v>
      </c>
      <c r="AI124" s="17"/>
    </row>
    <row r="125">
      <c r="A125" s="10" t="s">
        <v>712</v>
      </c>
      <c r="B125" s="10">
        <v>2026.0</v>
      </c>
      <c r="C125" s="10" t="s">
        <v>340</v>
      </c>
      <c r="D125" s="10" t="s">
        <v>713</v>
      </c>
      <c r="E125" s="10" t="s">
        <v>41</v>
      </c>
      <c r="F125" s="10" t="s">
        <v>59</v>
      </c>
      <c r="G125" s="10">
        <v>36.0</v>
      </c>
      <c r="H125" s="10">
        <v>39.0</v>
      </c>
      <c r="I125" s="10">
        <v>52.0</v>
      </c>
      <c r="J125" s="10">
        <v>55.0</v>
      </c>
      <c r="K125" s="10">
        <v>44.0</v>
      </c>
      <c r="L125" s="10">
        <v>37.0</v>
      </c>
      <c r="AB125" s="17"/>
      <c r="AC125" s="1" t="s">
        <v>705</v>
      </c>
      <c r="AD125" s="17"/>
      <c r="AE125" s="17"/>
      <c r="AF125" s="17"/>
      <c r="AG125" s="1" t="s">
        <v>706</v>
      </c>
      <c r="AH125" s="18">
        <v>1.0</v>
      </c>
      <c r="AI125" s="17"/>
    </row>
    <row r="126">
      <c r="A126" s="10" t="s">
        <v>714</v>
      </c>
      <c r="B126" s="10">
        <v>2603.0</v>
      </c>
      <c r="C126" s="10" t="s">
        <v>277</v>
      </c>
      <c r="D126" s="10" t="s">
        <v>715</v>
      </c>
      <c r="E126" s="10" t="s">
        <v>41</v>
      </c>
      <c r="F126" s="10" t="s">
        <v>59</v>
      </c>
      <c r="G126" s="10">
        <v>33.0</v>
      </c>
      <c r="H126" s="10">
        <v>33.0</v>
      </c>
      <c r="I126" s="10">
        <v>44.0</v>
      </c>
      <c r="J126" s="10">
        <v>46.0</v>
      </c>
      <c r="K126" s="10">
        <v>42.0</v>
      </c>
      <c r="L126" s="10">
        <v>40.0</v>
      </c>
      <c r="AB126" s="17"/>
      <c r="AC126" s="1" t="s">
        <v>705</v>
      </c>
      <c r="AD126" s="17"/>
      <c r="AE126" s="17"/>
      <c r="AF126" s="17"/>
      <c r="AG126" s="1" t="s">
        <v>706</v>
      </c>
      <c r="AH126" s="18">
        <v>1.0</v>
      </c>
      <c r="AI126" s="17"/>
    </row>
    <row r="127">
      <c r="A127" s="10" t="s">
        <v>716</v>
      </c>
      <c r="B127" s="10">
        <v>2006.0</v>
      </c>
      <c r="C127" s="10" t="s">
        <v>701</v>
      </c>
      <c r="D127" s="10" t="s">
        <v>226</v>
      </c>
      <c r="E127" s="10" t="s">
        <v>35</v>
      </c>
      <c r="F127" s="10" t="s">
        <v>45</v>
      </c>
      <c r="G127" s="10">
        <v>12.0</v>
      </c>
      <c r="H127" s="10">
        <v>12.0</v>
      </c>
      <c r="I127" s="10">
        <v>12.0</v>
      </c>
      <c r="J127" s="10">
        <v>12.0</v>
      </c>
      <c r="K127" s="10">
        <v>12.0</v>
      </c>
      <c r="L127" s="10">
        <v>12.0</v>
      </c>
      <c r="AB127" s="17"/>
      <c r="AC127" s="1" t="s">
        <v>705</v>
      </c>
      <c r="AD127" s="17"/>
      <c r="AE127" s="1" t="s">
        <v>717</v>
      </c>
      <c r="AF127" s="15" t="s">
        <v>718</v>
      </c>
      <c r="AG127" s="1" t="s">
        <v>719</v>
      </c>
      <c r="AH127" s="18">
        <v>1.0</v>
      </c>
      <c r="AI127" s="17"/>
    </row>
    <row r="128">
      <c r="A128" s="10" t="s">
        <v>720</v>
      </c>
      <c r="B128" s="10">
        <v>2026.0</v>
      </c>
      <c r="C128" s="10" t="s">
        <v>340</v>
      </c>
      <c r="D128" s="10" t="s">
        <v>721</v>
      </c>
      <c r="E128" s="10" t="s">
        <v>41</v>
      </c>
      <c r="F128" s="10" t="s">
        <v>59</v>
      </c>
      <c r="G128" s="10">
        <v>49.0</v>
      </c>
      <c r="H128" s="10">
        <v>48.0</v>
      </c>
      <c r="I128" s="10">
        <v>53.0</v>
      </c>
      <c r="J128" s="10">
        <v>57.0</v>
      </c>
      <c r="K128" s="10">
        <v>54.0</v>
      </c>
      <c r="L128" s="10">
        <v>53.0</v>
      </c>
      <c r="AB128" s="17"/>
      <c r="AC128" s="1" t="s">
        <v>705</v>
      </c>
      <c r="AD128" s="17"/>
      <c r="AE128" s="1" t="s">
        <v>722</v>
      </c>
      <c r="AF128" s="15" t="s">
        <v>723</v>
      </c>
      <c r="AG128" s="1" t="s">
        <v>719</v>
      </c>
      <c r="AH128" s="18">
        <v>1.0</v>
      </c>
      <c r="AI128" s="17"/>
    </row>
    <row r="129">
      <c r="A129" s="10" t="s">
        <v>224</v>
      </c>
      <c r="B129" s="10">
        <v>2006.0</v>
      </c>
      <c r="C129" s="10" t="s">
        <v>225</v>
      </c>
      <c r="D129" s="10" t="s">
        <v>226</v>
      </c>
      <c r="E129" s="10" t="s">
        <v>35</v>
      </c>
      <c r="F129" s="10" t="s">
        <v>45</v>
      </c>
      <c r="G129" s="10">
        <v>12.0</v>
      </c>
      <c r="H129" s="10">
        <v>12.0</v>
      </c>
      <c r="I129" s="10">
        <v>12.0</v>
      </c>
      <c r="J129" s="10">
        <v>12.0</v>
      </c>
      <c r="K129" s="10">
        <v>12.0</v>
      </c>
      <c r="L129" s="10">
        <v>12.0</v>
      </c>
      <c r="AB129" s="17"/>
      <c r="AC129" s="1" t="s">
        <v>234</v>
      </c>
      <c r="AD129" s="17">
        <v>46272.384665081016</v>
      </c>
      <c r="AE129" s="1" t="s">
        <v>724</v>
      </c>
      <c r="AF129" s="15" t="s">
        <v>725</v>
      </c>
      <c r="AG129" s="17"/>
      <c r="AH129" s="18">
        <v>1.0</v>
      </c>
      <c r="AI129" s="1" t="s">
        <v>726</v>
      </c>
    </row>
    <row r="130">
      <c r="A130" s="10" t="s">
        <v>727</v>
      </c>
      <c r="B130" s="10">
        <v>2006.0</v>
      </c>
      <c r="C130" s="10" t="s">
        <v>701</v>
      </c>
      <c r="D130" s="10" t="s">
        <v>613</v>
      </c>
      <c r="E130" s="10" t="s">
        <v>35</v>
      </c>
      <c r="F130" s="10" t="s">
        <v>45</v>
      </c>
      <c r="G130" s="10">
        <v>12.0</v>
      </c>
      <c r="H130" s="10">
        <v>12.0</v>
      </c>
      <c r="I130" s="10">
        <v>12.0</v>
      </c>
      <c r="J130" s="10">
        <v>12.0</v>
      </c>
      <c r="K130" s="10">
        <v>12.0</v>
      </c>
      <c r="L130" s="10">
        <v>12.0</v>
      </c>
      <c r="AB130" s="17"/>
      <c r="AC130" s="1" t="s">
        <v>728</v>
      </c>
      <c r="AD130" s="17">
        <v>46260.56692203703</v>
      </c>
      <c r="AE130" s="1" t="s">
        <v>729</v>
      </c>
      <c r="AF130" s="15" t="s">
        <v>730</v>
      </c>
      <c r="AG130" s="17"/>
      <c r="AH130" s="18">
        <v>1.0</v>
      </c>
      <c r="AI130" s="1" t="s">
        <v>731</v>
      </c>
    </row>
    <row r="131">
      <c r="A131" s="10" t="s">
        <v>732</v>
      </c>
      <c r="B131" s="10">
        <v>2006.0</v>
      </c>
      <c r="C131" s="10" t="s">
        <v>701</v>
      </c>
      <c r="D131" s="10" t="s">
        <v>613</v>
      </c>
      <c r="E131" s="10" t="s">
        <v>35</v>
      </c>
      <c r="F131" s="10" t="s">
        <v>45</v>
      </c>
      <c r="G131" s="10">
        <v>12.0</v>
      </c>
      <c r="H131" s="10">
        <v>12.0</v>
      </c>
      <c r="I131" s="10">
        <v>12.0</v>
      </c>
      <c r="J131" s="10">
        <v>12.0</v>
      </c>
      <c r="K131" s="10">
        <v>12.0</v>
      </c>
      <c r="L131" s="10">
        <v>12.0</v>
      </c>
      <c r="AB131" s="17"/>
      <c r="AC131" s="1" t="s">
        <v>728</v>
      </c>
      <c r="AD131" s="17">
        <v>46260.57108980324</v>
      </c>
      <c r="AE131" s="1" t="s">
        <v>733</v>
      </c>
      <c r="AF131" s="15" t="s">
        <v>734</v>
      </c>
      <c r="AG131" s="17"/>
      <c r="AH131" s="18">
        <v>1.0</v>
      </c>
      <c r="AI131" s="1" t="s">
        <v>735</v>
      </c>
    </row>
    <row r="132">
      <c r="A132" s="10" t="s">
        <v>163</v>
      </c>
      <c r="B132" s="10">
        <v>2005.0</v>
      </c>
      <c r="C132" s="10" t="s">
        <v>164</v>
      </c>
      <c r="D132" s="10" t="s">
        <v>165</v>
      </c>
      <c r="E132" s="10" t="s">
        <v>43</v>
      </c>
      <c r="F132" s="10" t="s">
        <v>66</v>
      </c>
      <c r="G132" s="10">
        <v>24.0</v>
      </c>
      <c r="H132" s="10">
        <v>30.0</v>
      </c>
      <c r="I132" s="10">
        <v>33.0</v>
      </c>
      <c r="J132" s="10">
        <v>27.0</v>
      </c>
      <c r="K132" s="10">
        <v>33.0</v>
      </c>
      <c r="L132" s="10">
        <v>35.0</v>
      </c>
      <c r="AB132" s="17"/>
      <c r="AC132" s="1" t="s">
        <v>728</v>
      </c>
      <c r="AD132" s="17">
        <v>46260.573475717596</v>
      </c>
      <c r="AE132" s="1" t="s">
        <v>736</v>
      </c>
      <c r="AF132" s="15" t="s">
        <v>737</v>
      </c>
      <c r="AG132" s="17"/>
      <c r="AH132" s="18">
        <v>1.0</v>
      </c>
      <c r="AI132" s="1" t="s">
        <v>738</v>
      </c>
    </row>
    <row r="133">
      <c r="A133" s="10" t="s">
        <v>224</v>
      </c>
      <c r="B133" s="10">
        <v>2006.0</v>
      </c>
      <c r="C133" s="10" t="s">
        <v>225</v>
      </c>
      <c r="D133" s="10" t="s">
        <v>226</v>
      </c>
      <c r="E133" s="10" t="s">
        <v>35</v>
      </c>
      <c r="F133" s="10" t="s">
        <v>45</v>
      </c>
      <c r="G133" s="10">
        <v>12.0</v>
      </c>
      <c r="H133" s="10">
        <v>12.0</v>
      </c>
      <c r="I133" s="10">
        <v>12.0</v>
      </c>
      <c r="J133" s="10">
        <v>12.0</v>
      </c>
      <c r="K133" s="10">
        <v>12.0</v>
      </c>
      <c r="L133" s="10">
        <v>12.0</v>
      </c>
      <c r="AB133" s="17"/>
      <c r="AC133" s="1" t="s">
        <v>728</v>
      </c>
      <c r="AD133" s="17">
        <v>46260.573328680555</v>
      </c>
      <c r="AE133" s="1" t="s">
        <v>739</v>
      </c>
      <c r="AF133" s="15" t="s">
        <v>740</v>
      </c>
      <c r="AG133" s="17"/>
      <c r="AH133" s="18">
        <v>1.0</v>
      </c>
      <c r="AI133" s="1" t="s">
        <v>741</v>
      </c>
    </row>
    <row r="134">
      <c r="A134" s="10" t="s">
        <v>742</v>
      </c>
      <c r="B134" s="10">
        <v>2008.0</v>
      </c>
      <c r="C134" s="10" t="s">
        <v>701</v>
      </c>
      <c r="D134" s="10" t="s">
        <v>613</v>
      </c>
      <c r="E134" s="10" t="s">
        <v>35</v>
      </c>
      <c r="F134" s="10" t="s">
        <v>45</v>
      </c>
      <c r="G134" s="10">
        <v>12.0</v>
      </c>
      <c r="H134" s="10">
        <v>12.0</v>
      </c>
      <c r="I134" s="10">
        <v>12.0</v>
      </c>
      <c r="J134" s="10">
        <v>12.0</v>
      </c>
      <c r="K134" s="10">
        <v>12.0</v>
      </c>
      <c r="L134" s="10">
        <v>12.0</v>
      </c>
      <c r="AB134" s="17"/>
      <c r="AC134" s="1" t="s">
        <v>728</v>
      </c>
      <c r="AD134" s="17">
        <v>46260.58277810185</v>
      </c>
      <c r="AE134" s="1" t="s">
        <v>743</v>
      </c>
      <c r="AF134" s="15" t="s">
        <v>744</v>
      </c>
      <c r="AG134" s="17"/>
      <c r="AH134" s="18">
        <v>1.0</v>
      </c>
      <c r="AI134" s="1" t="s">
        <v>745</v>
      </c>
    </row>
    <row r="135">
      <c r="A135" s="10" t="s">
        <v>746</v>
      </c>
      <c r="B135" s="10">
        <v>2026.0</v>
      </c>
      <c r="C135" s="10" t="s">
        <v>356</v>
      </c>
      <c r="D135" s="10" t="s">
        <v>747</v>
      </c>
      <c r="E135" s="10" t="s">
        <v>41</v>
      </c>
      <c r="F135" s="10" t="s">
        <v>59</v>
      </c>
      <c r="G135" s="10">
        <v>50.0</v>
      </c>
      <c r="H135" s="10">
        <v>42.0</v>
      </c>
      <c r="I135" s="10">
        <v>52.0</v>
      </c>
      <c r="J135" s="10">
        <v>60.0</v>
      </c>
      <c r="K135" s="10">
        <v>56.0</v>
      </c>
      <c r="L135" s="10">
        <v>54.0</v>
      </c>
      <c r="AB135" s="17"/>
      <c r="AC135" s="1" t="s">
        <v>728</v>
      </c>
      <c r="AD135" s="17">
        <v>46260.585914421295</v>
      </c>
      <c r="AE135" s="1" t="s">
        <v>748</v>
      </c>
      <c r="AF135" s="15" t="s">
        <v>749</v>
      </c>
      <c r="AG135" s="17"/>
      <c r="AH135" s="18">
        <v>1.0</v>
      </c>
      <c r="AI135" s="1" t="s">
        <v>750</v>
      </c>
    </row>
    <row r="136">
      <c r="A136" s="10" t="s">
        <v>751</v>
      </c>
      <c r="B136" s="10">
        <v>2026.0</v>
      </c>
      <c r="C136" s="10" t="s">
        <v>365</v>
      </c>
      <c r="D136" s="10" t="s">
        <v>752</v>
      </c>
      <c r="E136" s="10" t="s">
        <v>41</v>
      </c>
      <c r="F136" s="10" t="s">
        <v>59</v>
      </c>
      <c r="G136" s="10">
        <v>50.0</v>
      </c>
      <c r="H136" s="10">
        <v>48.0</v>
      </c>
      <c r="I136" s="10">
        <v>45.0</v>
      </c>
      <c r="J136" s="10">
        <v>55.0</v>
      </c>
      <c r="K136" s="10">
        <v>48.0</v>
      </c>
      <c r="L136" s="10">
        <v>50.0</v>
      </c>
      <c r="AB136" s="17"/>
      <c r="AC136" s="1" t="s">
        <v>728</v>
      </c>
      <c r="AD136" s="17">
        <v>46260.58887627315</v>
      </c>
      <c r="AE136" s="1" t="s">
        <v>753</v>
      </c>
      <c r="AF136" s="15" t="s">
        <v>754</v>
      </c>
      <c r="AG136" s="17"/>
      <c r="AH136" s="18">
        <v>1.0</v>
      </c>
      <c r="AI136" s="1" t="s">
        <v>755</v>
      </c>
    </row>
    <row r="137">
      <c r="A137" s="10" t="s">
        <v>756</v>
      </c>
      <c r="B137" s="10">
        <v>2006.0</v>
      </c>
      <c r="C137" s="10" t="s">
        <v>225</v>
      </c>
      <c r="D137" s="10" t="s">
        <v>226</v>
      </c>
      <c r="E137" s="10" t="s">
        <v>35</v>
      </c>
      <c r="F137" s="10" t="s">
        <v>45</v>
      </c>
      <c r="G137" s="10">
        <v>12.0</v>
      </c>
      <c r="H137" s="10">
        <v>12.0</v>
      </c>
      <c r="I137" s="10">
        <v>12.0</v>
      </c>
      <c r="J137" s="10">
        <v>12.0</v>
      </c>
      <c r="K137" s="10">
        <v>12.0</v>
      </c>
      <c r="L137" s="10">
        <v>12.0</v>
      </c>
      <c r="AB137" s="17"/>
      <c r="AC137" s="1" t="s">
        <v>728</v>
      </c>
      <c r="AD137" s="17">
        <v>46260.59091280092</v>
      </c>
      <c r="AE137" s="1" t="s">
        <v>757</v>
      </c>
      <c r="AF137" s="15" t="s">
        <v>758</v>
      </c>
      <c r="AG137" s="17"/>
      <c r="AH137" s="18">
        <v>1.0</v>
      </c>
      <c r="AI137" s="1" t="s">
        <v>759</v>
      </c>
    </row>
    <row r="138">
      <c r="A138" s="10" t="s">
        <v>714</v>
      </c>
      <c r="B138" s="10">
        <v>2603.0</v>
      </c>
      <c r="C138" s="10" t="s">
        <v>277</v>
      </c>
      <c r="D138" s="10" t="s">
        <v>715</v>
      </c>
      <c r="E138" s="10" t="s">
        <v>41</v>
      </c>
      <c r="F138" s="10" t="s">
        <v>59</v>
      </c>
      <c r="G138" s="10">
        <v>32.0</v>
      </c>
      <c r="H138" s="10">
        <v>33.0</v>
      </c>
      <c r="I138" s="10">
        <v>44.0</v>
      </c>
      <c r="J138" s="10">
        <v>46.0</v>
      </c>
      <c r="K138" s="10">
        <v>42.0</v>
      </c>
      <c r="L138" s="10">
        <v>40.0</v>
      </c>
      <c r="AB138" s="17"/>
      <c r="AC138" s="1" t="s">
        <v>728</v>
      </c>
      <c r="AD138" s="17">
        <v>46260.5977109838</v>
      </c>
      <c r="AE138" s="1" t="s">
        <v>760</v>
      </c>
      <c r="AF138" s="15" t="s">
        <v>761</v>
      </c>
      <c r="AG138" s="17"/>
      <c r="AH138" s="18">
        <v>1.0</v>
      </c>
      <c r="AI138" s="1" t="s">
        <v>762</v>
      </c>
    </row>
    <row r="139">
      <c r="A139" s="10" t="s">
        <v>707</v>
      </c>
      <c r="B139" s="10">
        <v>2026.0</v>
      </c>
      <c r="C139" s="10" t="s">
        <v>296</v>
      </c>
      <c r="D139" s="10" t="s">
        <v>763</v>
      </c>
      <c r="E139" s="10" t="s">
        <v>37</v>
      </c>
      <c r="F139" s="10" t="s">
        <v>50</v>
      </c>
      <c r="G139" s="10">
        <v>57.0</v>
      </c>
      <c r="H139" s="10">
        <v>59.0</v>
      </c>
      <c r="I139" s="10">
        <v>51.0</v>
      </c>
      <c r="J139" s="10">
        <v>59.0</v>
      </c>
      <c r="K139" s="10">
        <v>58.0</v>
      </c>
      <c r="L139" s="10">
        <v>57.0</v>
      </c>
      <c r="AB139" s="17"/>
      <c r="AC139" s="1" t="s">
        <v>728</v>
      </c>
      <c r="AD139" s="17">
        <v>46260.611189247684</v>
      </c>
      <c r="AE139" s="1" t="s">
        <v>764</v>
      </c>
      <c r="AF139" s="15" t="s">
        <v>765</v>
      </c>
      <c r="AG139" s="17"/>
      <c r="AH139" s="18">
        <v>1.0</v>
      </c>
      <c r="AI139" s="1" t="s">
        <v>766</v>
      </c>
    </row>
    <row r="140">
      <c r="A140" s="10" t="s">
        <v>767</v>
      </c>
      <c r="B140" s="10">
        <v>2026.0</v>
      </c>
      <c r="C140" s="10" t="s">
        <v>768</v>
      </c>
      <c r="D140" s="10" t="s">
        <v>769</v>
      </c>
      <c r="E140" s="10" t="s">
        <v>42</v>
      </c>
      <c r="F140" s="10" t="s">
        <v>61</v>
      </c>
      <c r="G140" s="10">
        <v>44.0</v>
      </c>
      <c r="H140" s="10">
        <v>46.0</v>
      </c>
      <c r="I140" s="10">
        <v>31.0</v>
      </c>
      <c r="J140" s="10">
        <v>45.0</v>
      </c>
      <c r="K140" s="10">
        <v>47.0</v>
      </c>
      <c r="L140" s="10">
        <v>43.0</v>
      </c>
      <c r="AB140" s="17"/>
      <c r="AC140" s="1" t="s">
        <v>728</v>
      </c>
      <c r="AD140" s="17">
        <v>46260.66212190972</v>
      </c>
      <c r="AE140" s="1" t="s">
        <v>770</v>
      </c>
      <c r="AF140" s="15" t="s">
        <v>771</v>
      </c>
      <c r="AG140" s="17"/>
      <c r="AH140" s="18">
        <v>1.0</v>
      </c>
      <c r="AI140" s="1" t="s">
        <v>772</v>
      </c>
    </row>
    <row r="141">
      <c r="A141" s="10" t="s">
        <v>773</v>
      </c>
      <c r="B141" s="10">
        <v>2003.0</v>
      </c>
      <c r="C141" s="10" t="s">
        <v>245</v>
      </c>
      <c r="D141" s="10" t="s">
        <v>774</v>
      </c>
      <c r="E141" s="10" t="s">
        <v>41</v>
      </c>
      <c r="F141" s="10" t="s">
        <v>59</v>
      </c>
      <c r="G141" s="10">
        <v>54.0</v>
      </c>
      <c r="H141" s="10">
        <v>46.0</v>
      </c>
      <c r="I141" s="10">
        <v>49.0</v>
      </c>
      <c r="J141" s="10">
        <v>55.0</v>
      </c>
      <c r="K141" s="10">
        <v>53.0</v>
      </c>
      <c r="L141" s="10">
        <v>51.0</v>
      </c>
      <c r="AB141" s="17"/>
      <c r="AC141" s="1" t="s">
        <v>728</v>
      </c>
      <c r="AD141" s="17">
        <v>46260.688112442134</v>
      </c>
      <c r="AE141" s="1" t="s">
        <v>775</v>
      </c>
      <c r="AF141" s="15" t="s">
        <v>776</v>
      </c>
      <c r="AG141" s="17"/>
      <c r="AH141" s="18">
        <v>1.0</v>
      </c>
      <c r="AI141" s="1" t="s">
        <v>777</v>
      </c>
    </row>
    <row r="142">
      <c r="A142" s="10" t="s">
        <v>720</v>
      </c>
      <c r="B142" s="10">
        <v>2026.0</v>
      </c>
      <c r="C142" s="10" t="s">
        <v>340</v>
      </c>
      <c r="D142" s="10" t="s">
        <v>778</v>
      </c>
      <c r="E142" s="10" t="s">
        <v>41</v>
      </c>
      <c r="F142" s="10" t="s">
        <v>59</v>
      </c>
      <c r="G142" s="10">
        <v>52.0</v>
      </c>
      <c r="H142" s="10">
        <v>47.0</v>
      </c>
      <c r="I142" s="10">
        <v>52.0</v>
      </c>
      <c r="J142" s="10">
        <v>59.0</v>
      </c>
      <c r="K142" s="10">
        <v>53.0</v>
      </c>
      <c r="L142" s="10">
        <v>57.0</v>
      </c>
      <c r="AB142" s="17"/>
      <c r="AC142" s="1" t="s">
        <v>728</v>
      </c>
      <c r="AD142" s="17">
        <v>46260.715868680556</v>
      </c>
      <c r="AE142" s="1" t="s">
        <v>779</v>
      </c>
      <c r="AF142" s="15" t="s">
        <v>780</v>
      </c>
      <c r="AG142" s="17"/>
      <c r="AH142" s="18">
        <v>1.0</v>
      </c>
      <c r="AI142" s="1" t="s">
        <v>781</v>
      </c>
    </row>
    <row r="143">
      <c r="A143" s="10" t="s">
        <v>782</v>
      </c>
      <c r="B143" s="10">
        <v>2026.0</v>
      </c>
      <c r="C143" s="10" t="s">
        <v>356</v>
      </c>
      <c r="D143" s="10" t="s">
        <v>783</v>
      </c>
      <c r="E143" s="10" t="s">
        <v>41</v>
      </c>
      <c r="F143" s="10" t="s">
        <v>59</v>
      </c>
      <c r="G143" s="10">
        <v>41.0</v>
      </c>
      <c r="H143" s="10">
        <v>40.0</v>
      </c>
      <c r="I143" s="10">
        <v>38.0</v>
      </c>
      <c r="J143" s="10">
        <v>44.0</v>
      </c>
      <c r="K143" s="10">
        <v>40.0</v>
      </c>
      <c r="L143" s="10">
        <v>42.0</v>
      </c>
      <c r="AB143" s="17"/>
      <c r="AC143" s="1" t="s">
        <v>728</v>
      </c>
      <c r="AD143" s="17">
        <v>46260.723193564816</v>
      </c>
      <c r="AE143" s="1" t="s">
        <v>784</v>
      </c>
      <c r="AF143" s="15" t="s">
        <v>785</v>
      </c>
      <c r="AG143" s="17"/>
      <c r="AH143" s="18">
        <v>1.0</v>
      </c>
      <c r="AI143" s="1" t="s">
        <v>786</v>
      </c>
    </row>
    <row r="144">
      <c r="A144" s="10" t="s">
        <v>787</v>
      </c>
      <c r="B144" s="10">
        <v>2008.0</v>
      </c>
      <c r="C144" s="10" t="s">
        <v>788</v>
      </c>
      <c r="D144" s="10" t="s">
        <v>789</v>
      </c>
      <c r="E144" s="10" t="s">
        <v>41</v>
      </c>
      <c r="F144" s="10" t="s">
        <v>59</v>
      </c>
      <c r="G144" s="10">
        <v>50.0</v>
      </c>
      <c r="H144" s="10">
        <v>56.0</v>
      </c>
      <c r="I144" s="10">
        <v>44.0</v>
      </c>
      <c r="J144" s="10">
        <v>60.0</v>
      </c>
      <c r="K144" s="10">
        <v>60.0</v>
      </c>
      <c r="L144" s="10">
        <v>58.0</v>
      </c>
      <c r="AB144" s="17"/>
      <c r="AC144" s="1" t="s">
        <v>728</v>
      </c>
      <c r="AD144" s="17">
        <v>46260.789556041665</v>
      </c>
      <c r="AE144" s="1" t="s">
        <v>790</v>
      </c>
      <c r="AF144" s="15" t="s">
        <v>791</v>
      </c>
      <c r="AG144" s="17"/>
      <c r="AH144" s="18">
        <v>1.0</v>
      </c>
      <c r="AI144" s="1" t="s">
        <v>792</v>
      </c>
    </row>
    <row r="145">
      <c r="A145" s="10" t="s">
        <v>787</v>
      </c>
      <c r="B145" s="10">
        <v>2008.0</v>
      </c>
      <c r="C145" s="10" t="s">
        <v>793</v>
      </c>
      <c r="D145" s="10" t="s">
        <v>794</v>
      </c>
      <c r="E145" s="10" t="s">
        <v>41</v>
      </c>
      <c r="F145" s="10" t="s">
        <v>59</v>
      </c>
      <c r="G145" s="10">
        <v>48.0</v>
      </c>
      <c r="H145" s="10">
        <v>57.0</v>
      </c>
      <c r="I145" s="10">
        <v>50.0</v>
      </c>
      <c r="J145" s="10">
        <v>60.0</v>
      </c>
      <c r="K145" s="10">
        <v>59.0</v>
      </c>
      <c r="L145" s="10">
        <v>59.0</v>
      </c>
      <c r="AB145" s="17"/>
      <c r="AC145" s="1" t="s">
        <v>728</v>
      </c>
      <c r="AD145" s="17">
        <v>46260.798868819445</v>
      </c>
      <c r="AE145" s="1" t="s">
        <v>795</v>
      </c>
      <c r="AF145" s="15" t="s">
        <v>796</v>
      </c>
      <c r="AG145" s="17"/>
      <c r="AH145" s="18">
        <v>1.0</v>
      </c>
      <c r="AI145" s="1" t="s">
        <v>797</v>
      </c>
    </row>
    <row r="146">
      <c r="A146" s="10" t="s">
        <v>751</v>
      </c>
      <c r="B146" s="10">
        <v>2026.0</v>
      </c>
      <c r="C146" s="10" t="s">
        <v>365</v>
      </c>
      <c r="D146" s="10" t="s">
        <v>798</v>
      </c>
      <c r="E146" s="10" t="s">
        <v>41</v>
      </c>
      <c r="F146" s="10" t="s">
        <v>59</v>
      </c>
      <c r="G146" s="10">
        <v>48.0</v>
      </c>
      <c r="H146" s="10">
        <v>48.0</v>
      </c>
      <c r="I146" s="10">
        <v>43.0</v>
      </c>
      <c r="J146" s="10">
        <v>53.0</v>
      </c>
      <c r="K146" s="10">
        <v>50.0</v>
      </c>
      <c r="L146" s="10">
        <v>51.0</v>
      </c>
      <c r="AB146" s="17"/>
      <c r="AC146" s="1" t="s">
        <v>728</v>
      </c>
      <c r="AD146" s="17">
        <v>46261.62150201389</v>
      </c>
      <c r="AE146" s="1" t="s">
        <v>799</v>
      </c>
      <c r="AF146" s="15" t="s">
        <v>800</v>
      </c>
      <c r="AG146" s="17"/>
      <c r="AH146" s="18">
        <v>1.0</v>
      </c>
      <c r="AI146" s="1" t="s">
        <v>801</v>
      </c>
    </row>
    <row r="147">
      <c r="A147" s="10" t="s">
        <v>802</v>
      </c>
      <c r="B147" s="10">
        <v>2026.0</v>
      </c>
      <c r="C147" s="10" t="s">
        <v>340</v>
      </c>
      <c r="D147" s="10" t="s">
        <v>713</v>
      </c>
      <c r="E147" s="10" t="s">
        <v>41</v>
      </c>
      <c r="F147" s="10" t="s">
        <v>59</v>
      </c>
      <c r="G147" s="10">
        <v>37.0</v>
      </c>
      <c r="H147" s="10">
        <v>39.0</v>
      </c>
      <c r="I147" s="10">
        <v>55.0</v>
      </c>
      <c r="J147" s="10">
        <v>58.0</v>
      </c>
      <c r="K147" s="10">
        <v>45.0</v>
      </c>
      <c r="L147" s="10">
        <v>36.0</v>
      </c>
      <c r="AB147" s="17"/>
      <c r="AC147" s="1" t="s">
        <v>728</v>
      </c>
      <c r="AD147" s="17">
        <v>46261.622478969904</v>
      </c>
      <c r="AE147" s="1" t="s">
        <v>803</v>
      </c>
      <c r="AF147" s="15" t="s">
        <v>804</v>
      </c>
      <c r="AG147" s="17"/>
      <c r="AH147" s="18">
        <v>1.0</v>
      </c>
      <c r="AI147" s="1" t="s">
        <v>805</v>
      </c>
    </row>
    <row r="148">
      <c r="A148" s="10" t="s">
        <v>806</v>
      </c>
      <c r="B148" s="10">
        <v>2020.0</v>
      </c>
      <c r="C148" s="10" t="s">
        <v>374</v>
      </c>
      <c r="D148" s="10" t="s">
        <v>807</v>
      </c>
      <c r="E148" s="10" t="s">
        <v>35</v>
      </c>
      <c r="F148" s="10" t="s">
        <v>45</v>
      </c>
      <c r="G148" s="10">
        <v>56.0</v>
      </c>
      <c r="H148" s="10">
        <v>50.0</v>
      </c>
      <c r="I148" s="10">
        <v>47.0</v>
      </c>
      <c r="J148" s="10">
        <v>52.0</v>
      </c>
      <c r="K148" s="10">
        <v>51.0</v>
      </c>
      <c r="L148" s="10">
        <v>51.0</v>
      </c>
      <c r="AB148" s="17"/>
      <c r="AC148" s="1" t="s">
        <v>728</v>
      </c>
      <c r="AD148" s="17">
        <v>46262.500077986115</v>
      </c>
      <c r="AE148" s="1" t="s">
        <v>808</v>
      </c>
      <c r="AF148" s="15" t="s">
        <v>809</v>
      </c>
      <c r="AG148" s="17"/>
      <c r="AH148" s="18">
        <v>1.0</v>
      </c>
      <c r="AI148" s="1" t="s">
        <v>810</v>
      </c>
    </row>
    <row r="149">
      <c r="A149" s="10" t="s">
        <v>811</v>
      </c>
      <c r="B149" s="10">
        <v>2008.0</v>
      </c>
      <c r="C149" s="10" t="s">
        <v>365</v>
      </c>
      <c r="D149" s="10" t="s">
        <v>812</v>
      </c>
      <c r="E149" s="10" t="s">
        <v>40</v>
      </c>
      <c r="F149" s="10" t="s">
        <v>58</v>
      </c>
      <c r="G149" s="10">
        <v>32.0</v>
      </c>
      <c r="H149" s="10">
        <v>37.0</v>
      </c>
      <c r="I149" s="10">
        <v>43.0</v>
      </c>
      <c r="J149" s="10">
        <v>34.0</v>
      </c>
      <c r="K149" s="10">
        <v>34.0</v>
      </c>
      <c r="L149" s="10">
        <v>29.0</v>
      </c>
      <c r="AB149" s="17"/>
      <c r="AC149" s="1" t="s">
        <v>728</v>
      </c>
      <c r="AD149" s="17">
        <v>46262.52176053241</v>
      </c>
      <c r="AE149" s="1" t="s">
        <v>813</v>
      </c>
      <c r="AF149" s="15" t="s">
        <v>814</v>
      </c>
      <c r="AG149" s="17"/>
      <c r="AH149" s="18">
        <v>1.0</v>
      </c>
      <c r="AI149" s="1" t="s">
        <v>815</v>
      </c>
    </row>
    <row r="150">
      <c r="A150" s="10" t="s">
        <v>816</v>
      </c>
      <c r="B150" s="10">
        <v>1997.0</v>
      </c>
      <c r="C150" s="10" t="s">
        <v>225</v>
      </c>
      <c r="D150" s="10" t="s">
        <v>817</v>
      </c>
      <c r="E150" s="10" t="s">
        <v>41</v>
      </c>
      <c r="F150" s="10" t="s">
        <v>59</v>
      </c>
      <c r="G150" s="10">
        <v>41.0</v>
      </c>
      <c r="H150" s="10">
        <v>45.0</v>
      </c>
      <c r="I150" s="10">
        <v>40.0</v>
      </c>
      <c r="J150" s="10">
        <v>48.0</v>
      </c>
      <c r="K150" s="10">
        <v>42.0</v>
      </c>
      <c r="L150" s="10">
        <v>43.0</v>
      </c>
      <c r="AB150" s="17"/>
      <c r="AC150" s="1" t="s">
        <v>728</v>
      </c>
      <c r="AD150" s="17">
        <v>46262.525046689814</v>
      </c>
      <c r="AE150" s="1" t="s">
        <v>818</v>
      </c>
      <c r="AF150" s="15" t="s">
        <v>819</v>
      </c>
      <c r="AG150" s="17"/>
      <c r="AH150" s="18">
        <v>1.0</v>
      </c>
      <c r="AI150" s="1" t="s">
        <v>820</v>
      </c>
    </row>
    <row r="151">
      <c r="A151" s="10" t="s">
        <v>821</v>
      </c>
      <c r="B151" s="10">
        <v>2006.0</v>
      </c>
      <c r="C151" s="10" t="s">
        <v>213</v>
      </c>
      <c r="D151" s="10" t="s">
        <v>822</v>
      </c>
      <c r="E151" s="10" t="s">
        <v>41</v>
      </c>
      <c r="F151" s="10" t="s">
        <v>59</v>
      </c>
      <c r="G151" s="10">
        <v>40.0</v>
      </c>
      <c r="H151" s="10">
        <v>44.0</v>
      </c>
      <c r="I151" s="10">
        <v>43.0</v>
      </c>
      <c r="J151" s="10">
        <v>48.0</v>
      </c>
      <c r="K151" s="10">
        <v>48.0</v>
      </c>
      <c r="L151" s="10">
        <v>43.0</v>
      </c>
      <c r="AB151" s="17"/>
      <c r="AC151" s="1" t="s">
        <v>728</v>
      </c>
      <c r="AD151" s="17">
        <v>46262.53418133102</v>
      </c>
      <c r="AE151" s="1" t="s">
        <v>823</v>
      </c>
      <c r="AF151" s="15" t="s">
        <v>824</v>
      </c>
      <c r="AG151" s="17"/>
      <c r="AH151" s="18">
        <v>1.0</v>
      </c>
      <c r="AI151" s="1" t="s">
        <v>825</v>
      </c>
    </row>
    <row r="152">
      <c r="A152" s="10" t="s">
        <v>821</v>
      </c>
      <c r="B152" s="10">
        <v>2006.0</v>
      </c>
      <c r="C152" s="10" t="s">
        <v>213</v>
      </c>
      <c r="D152" s="10" t="s">
        <v>822</v>
      </c>
      <c r="E152" s="10" t="s">
        <v>41</v>
      </c>
      <c r="F152" s="10" t="s">
        <v>59</v>
      </c>
      <c r="G152" s="10">
        <v>44.0</v>
      </c>
      <c r="H152" s="10">
        <v>47.0</v>
      </c>
      <c r="I152" s="10">
        <v>44.0</v>
      </c>
      <c r="J152" s="10">
        <v>48.0</v>
      </c>
      <c r="K152" s="10">
        <v>48.0</v>
      </c>
      <c r="L152" s="10">
        <v>47.0</v>
      </c>
      <c r="AB152" s="17"/>
      <c r="AC152" s="1" t="s">
        <v>728</v>
      </c>
      <c r="AD152" s="17">
        <v>46262.546264641205</v>
      </c>
      <c r="AE152" s="1" t="s">
        <v>826</v>
      </c>
      <c r="AF152" s="15" t="s">
        <v>827</v>
      </c>
      <c r="AG152" s="17"/>
      <c r="AH152" s="18">
        <v>1.0</v>
      </c>
      <c r="AI152" s="1" t="s">
        <v>828</v>
      </c>
    </row>
    <row r="153">
      <c r="A153" s="10" t="s">
        <v>829</v>
      </c>
      <c r="B153" s="10">
        <v>2000.0</v>
      </c>
      <c r="C153" s="10" t="s">
        <v>225</v>
      </c>
      <c r="D153" s="10" t="s">
        <v>830</v>
      </c>
      <c r="E153" s="10" t="s">
        <v>42</v>
      </c>
      <c r="F153" s="10" t="s">
        <v>61</v>
      </c>
      <c r="G153" s="10">
        <v>40.0</v>
      </c>
      <c r="H153" s="10">
        <v>46.0</v>
      </c>
      <c r="I153" s="10">
        <v>42.0</v>
      </c>
      <c r="J153" s="10">
        <v>45.0</v>
      </c>
      <c r="K153" s="10">
        <v>47.0</v>
      </c>
      <c r="L153" s="10">
        <v>42.0</v>
      </c>
      <c r="AB153" s="17"/>
      <c r="AC153" s="1" t="s">
        <v>728</v>
      </c>
      <c r="AD153" s="17">
        <v>46262.563544282406</v>
      </c>
      <c r="AE153" s="1" t="s">
        <v>831</v>
      </c>
      <c r="AF153" s="15" t="s">
        <v>832</v>
      </c>
      <c r="AG153" s="17"/>
      <c r="AH153" s="18">
        <v>1.0</v>
      </c>
      <c r="AI153" s="1" t="s">
        <v>833</v>
      </c>
    </row>
    <row r="154">
      <c r="A154" s="10" t="s">
        <v>834</v>
      </c>
      <c r="B154" s="10">
        <v>2009.0</v>
      </c>
      <c r="C154" s="10" t="s">
        <v>213</v>
      </c>
      <c r="D154" s="10" t="s">
        <v>835</v>
      </c>
      <c r="E154" s="10" t="s">
        <v>37</v>
      </c>
      <c r="F154" s="10" t="s">
        <v>50</v>
      </c>
      <c r="G154" s="10">
        <v>51.0</v>
      </c>
      <c r="H154" s="10">
        <v>60.0</v>
      </c>
      <c r="I154" s="10">
        <v>52.0</v>
      </c>
      <c r="J154" s="10">
        <v>60.0</v>
      </c>
      <c r="K154" s="10">
        <v>60.0</v>
      </c>
      <c r="L154" s="10">
        <v>58.0</v>
      </c>
      <c r="AB154" s="17"/>
      <c r="AC154" s="1" t="s">
        <v>728</v>
      </c>
      <c r="AD154" s="17">
        <v>46262.60800256944</v>
      </c>
      <c r="AE154" s="1" t="s">
        <v>836</v>
      </c>
      <c r="AF154" s="15" t="s">
        <v>837</v>
      </c>
      <c r="AG154" s="17"/>
      <c r="AH154" s="18">
        <v>1.0</v>
      </c>
      <c r="AI154" s="1" t="s">
        <v>838</v>
      </c>
    </row>
    <row r="155">
      <c r="A155" s="10" t="s">
        <v>839</v>
      </c>
      <c r="B155" s="10" t="s">
        <v>840</v>
      </c>
      <c r="C155" s="10" t="s">
        <v>266</v>
      </c>
      <c r="D155" s="10" t="s">
        <v>841</v>
      </c>
      <c r="E155" s="10" t="s">
        <v>41</v>
      </c>
      <c r="F155" s="10" t="s">
        <v>59</v>
      </c>
      <c r="G155" s="10">
        <v>42.0</v>
      </c>
      <c r="H155" s="10">
        <v>47.0</v>
      </c>
      <c r="I155" s="10">
        <v>44.0</v>
      </c>
      <c r="J155" s="10">
        <v>48.0</v>
      </c>
      <c r="K155" s="10">
        <v>48.0</v>
      </c>
      <c r="L155" s="10">
        <v>45.0</v>
      </c>
      <c r="AB155" s="17"/>
      <c r="AC155" s="1" t="s">
        <v>728</v>
      </c>
      <c r="AD155" s="17">
        <v>46268.68179150463</v>
      </c>
      <c r="AE155" s="1" t="s">
        <v>842</v>
      </c>
      <c r="AF155" s="15" t="s">
        <v>843</v>
      </c>
      <c r="AG155" s="17"/>
      <c r="AH155" s="18">
        <v>1.0</v>
      </c>
      <c r="AI155" s="1" t="s">
        <v>844</v>
      </c>
    </row>
    <row r="156">
      <c r="A156" s="10" t="s">
        <v>845</v>
      </c>
      <c r="B156" s="10" t="s">
        <v>840</v>
      </c>
      <c r="C156" s="10" t="s">
        <v>846</v>
      </c>
      <c r="D156" s="10" t="s">
        <v>847</v>
      </c>
      <c r="E156" s="10" t="s">
        <v>35</v>
      </c>
      <c r="F156" s="10" t="s">
        <v>45</v>
      </c>
      <c r="G156" s="10">
        <v>36.0</v>
      </c>
      <c r="H156" s="10">
        <v>36.0</v>
      </c>
      <c r="I156" s="10">
        <v>36.0</v>
      </c>
      <c r="J156" s="10">
        <v>36.0</v>
      </c>
      <c r="K156" s="10">
        <v>36.0</v>
      </c>
      <c r="L156" s="10">
        <v>36.0</v>
      </c>
      <c r="AB156" s="17"/>
      <c r="AC156" s="1" t="s">
        <v>728</v>
      </c>
      <c r="AD156" s="17">
        <v>46286.56378028935</v>
      </c>
      <c r="AE156" s="1" t="s">
        <v>848</v>
      </c>
      <c r="AF156" s="15" t="s">
        <v>849</v>
      </c>
      <c r="AG156" s="17"/>
      <c r="AH156" s="18">
        <v>1.0</v>
      </c>
      <c r="AI156" s="1" t="s">
        <v>850</v>
      </c>
    </row>
    <row r="157">
      <c r="A157" s="10" t="s">
        <v>851</v>
      </c>
      <c r="B157" s="10">
        <v>2013.0</v>
      </c>
      <c r="C157" s="10" t="s">
        <v>296</v>
      </c>
      <c r="D157" s="10" t="s">
        <v>297</v>
      </c>
      <c r="E157" s="10" t="s">
        <v>37</v>
      </c>
      <c r="F157" s="10" t="s">
        <v>50</v>
      </c>
      <c r="G157" s="10">
        <v>48.0</v>
      </c>
      <c r="H157" s="10">
        <v>52.0</v>
      </c>
      <c r="I157" s="10">
        <v>49.0</v>
      </c>
      <c r="J157" s="10">
        <v>50.0</v>
      </c>
      <c r="K157" s="10">
        <v>50.0</v>
      </c>
      <c r="L157" s="10">
        <v>47.0</v>
      </c>
      <c r="AB157" s="17"/>
      <c r="AC157" s="1" t="s">
        <v>728</v>
      </c>
      <c r="AD157" s="17">
        <v>46286.56394707176</v>
      </c>
      <c r="AE157" s="1" t="s">
        <v>852</v>
      </c>
      <c r="AF157" s="15" t="s">
        <v>853</v>
      </c>
      <c r="AG157" s="17"/>
      <c r="AH157" s="18">
        <v>1.0</v>
      </c>
      <c r="AI157" s="1" t="s">
        <v>854</v>
      </c>
    </row>
    <row r="158">
      <c r="A158" s="10" t="s">
        <v>311</v>
      </c>
      <c r="B158" s="10">
        <v>2015.0</v>
      </c>
      <c r="C158" s="10" t="s">
        <v>321</v>
      </c>
      <c r="D158" s="10" t="s">
        <v>251</v>
      </c>
      <c r="E158" s="10" t="s">
        <v>42</v>
      </c>
      <c r="F158" s="10" t="s">
        <v>61</v>
      </c>
      <c r="G158" s="10">
        <v>32.0</v>
      </c>
      <c r="H158" s="10">
        <v>32.0</v>
      </c>
      <c r="I158" s="10">
        <v>36.0</v>
      </c>
      <c r="J158" s="10">
        <v>34.0</v>
      </c>
      <c r="K158" s="10">
        <v>37.0</v>
      </c>
      <c r="L158" s="10">
        <v>37.0</v>
      </c>
      <c r="AB158" s="17"/>
      <c r="AC158" s="1" t="s">
        <v>728</v>
      </c>
      <c r="AD158" s="17">
        <v>46286.564091504624</v>
      </c>
      <c r="AE158" s="1" t="s">
        <v>855</v>
      </c>
      <c r="AF158" s="15" t="s">
        <v>856</v>
      </c>
      <c r="AG158" s="17"/>
      <c r="AH158" s="18">
        <v>1.0</v>
      </c>
      <c r="AI158" s="1" t="s">
        <v>857</v>
      </c>
    </row>
    <row r="159">
      <c r="A159" s="10" t="s">
        <v>858</v>
      </c>
      <c r="B159" s="10" t="s">
        <v>840</v>
      </c>
      <c r="C159" s="10" t="s">
        <v>207</v>
      </c>
      <c r="D159" s="10" t="s">
        <v>208</v>
      </c>
      <c r="E159" s="10" t="s">
        <v>35</v>
      </c>
      <c r="F159" s="10" t="s">
        <v>45</v>
      </c>
      <c r="G159" s="10">
        <v>36.0</v>
      </c>
      <c r="H159" s="10">
        <v>36.0</v>
      </c>
      <c r="I159" s="10">
        <v>36.0</v>
      </c>
      <c r="J159" s="10">
        <v>36.0</v>
      </c>
      <c r="K159" s="10">
        <v>36.0</v>
      </c>
      <c r="L159" s="10">
        <v>36.0</v>
      </c>
      <c r="AB159" s="17"/>
      <c r="AC159" s="1" t="s">
        <v>728</v>
      </c>
      <c r="AD159" s="17">
        <v>46286.56518362269</v>
      </c>
      <c r="AE159" s="1" t="s">
        <v>859</v>
      </c>
      <c r="AF159" s="15" t="s">
        <v>860</v>
      </c>
      <c r="AG159" s="17"/>
      <c r="AH159" s="18">
        <v>1.0</v>
      </c>
      <c r="AI159" s="1" t="s">
        <v>861</v>
      </c>
    </row>
    <row r="160">
      <c r="A160" s="10" t="s">
        <v>862</v>
      </c>
      <c r="B160" s="10">
        <v>2005.0</v>
      </c>
      <c r="C160" s="10"/>
      <c r="D160" s="10" t="s">
        <v>301</v>
      </c>
      <c r="E160" s="10" t="s">
        <v>35</v>
      </c>
      <c r="F160" s="10" t="s">
        <v>45</v>
      </c>
      <c r="G160" s="10">
        <v>51.0</v>
      </c>
      <c r="H160" s="10">
        <v>41.0</v>
      </c>
      <c r="I160" s="10">
        <v>48.0</v>
      </c>
      <c r="J160" s="10">
        <v>48.0</v>
      </c>
      <c r="K160" s="10">
        <v>42.0</v>
      </c>
      <c r="L160" s="10">
        <v>44.0</v>
      </c>
      <c r="AB160" s="17"/>
      <c r="AC160" s="1" t="s">
        <v>728</v>
      </c>
      <c r="AD160" s="17">
        <v>46286.56533939815</v>
      </c>
      <c r="AE160" s="1" t="s">
        <v>863</v>
      </c>
      <c r="AF160" s="15" t="s">
        <v>864</v>
      </c>
      <c r="AG160" s="17"/>
      <c r="AH160" s="18">
        <v>1.0</v>
      </c>
      <c r="AI160" s="1" t="s">
        <v>865</v>
      </c>
    </row>
    <row r="161">
      <c r="A161" s="10" t="s">
        <v>207</v>
      </c>
      <c r="B161" s="10">
        <v>2025.0</v>
      </c>
      <c r="C161" s="10" t="s">
        <v>173</v>
      </c>
      <c r="D161" s="10" t="s">
        <v>240</v>
      </c>
      <c r="E161" s="10" t="s">
        <v>41</v>
      </c>
      <c r="F161" s="10" t="s">
        <v>59</v>
      </c>
      <c r="G161" s="10">
        <v>50.0</v>
      </c>
      <c r="H161" s="10">
        <v>49.0</v>
      </c>
      <c r="I161" s="10">
        <v>52.0</v>
      </c>
      <c r="J161" s="10">
        <v>54.0</v>
      </c>
      <c r="K161" s="10">
        <v>51.0</v>
      </c>
      <c r="L161" s="10">
        <v>53.0</v>
      </c>
      <c r="AB161" s="17"/>
      <c r="AC161" s="1" t="s">
        <v>728</v>
      </c>
      <c r="AD161" s="17">
        <v>46286.56550758102</v>
      </c>
      <c r="AE161" s="1" t="s">
        <v>866</v>
      </c>
      <c r="AF161" s="15" t="s">
        <v>867</v>
      </c>
      <c r="AG161" s="17"/>
      <c r="AH161" s="18">
        <v>1.0</v>
      </c>
      <c r="AI161" s="1" t="s">
        <v>868</v>
      </c>
    </row>
    <row r="162">
      <c r="A162" s="10" t="s">
        <v>869</v>
      </c>
      <c r="B162" s="10">
        <v>2025.0</v>
      </c>
      <c r="C162" s="10" t="s">
        <v>173</v>
      </c>
      <c r="D162" s="10" t="s">
        <v>870</v>
      </c>
      <c r="E162" s="10" t="s">
        <v>41</v>
      </c>
      <c r="F162" s="10" t="s">
        <v>59</v>
      </c>
      <c r="G162" s="10">
        <v>34.0</v>
      </c>
      <c r="H162" s="10">
        <v>35.0</v>
      </c>
      <c r="I162" s="10">
        <v>35.0</v>
      </c>
      <c r="J162" s="10">
        <v>37.0</v>
      </c>
      <c r="K162" s="10">
        <v>37.0</v>
      </c>
      <c r="L162" s="10">
        <v>36.0</v>
      </c>
      <c r="AB162" s="17"/>
      <c r="AC162" s="1" t="s">
        <v>728</v>
      </c>
      <c r="AD162" s="17">
        <v>46287.400329537035</v>
      </c>
      <c r="AE162" s="1" t="s">
        <v>871</v>
      </c>
      <c r="AF162" s="15" t="s">
        <v>872</v>
      </c>
      <c r="AG162" s="17"/>
      <c r="AH162" s="18">
        <v>1.0</v>
      </c>
      <c r="AI162" s="1" t="s">
        <v>873</v>
      </c>
    </row>
    <row r="163">
      <c r="A163" s="10" t="s">
        <v>874</v>
      </c>
      <c r="B163" s="10">
        <v>2026.0</v>
      </c>
      <c r="C163" s="10" t="s">
        <v>219</v>
      </c>
      <c r="D163" s="10" t="s">
        <v>875</v>
      </c>
      <c r="E163" s="10" t="s">
        <v>41</v>
      </c>
      <c r="F163" s="10" t="s">
        <v>59</v>
      </c>
      <c r="G163" s="10">
        <v>37.0</v>
      </c>
      <c r="H163" s="10">
        <v>38.0</v>
      </c>
      <c r="I163" s="10">
        <v>36.0</v>
      </c>
      <c r="J163" s="10">
        <v>41.0</v>
      </c>
      <c r="K163" s="10">
        <v>41.0</v>
      </c>
      <c r="L163" s="10">
        <v>39.0</v>
      </c>
      <c r="AB163" s="17"/>
      <c r="AC163" s="1" t="s">
        <v>728</v>
      </c>
      <c r="AD163" s="17">
        <v>46287.40126943287</v>
      </c>
      <c r="AE163" s="1" t="s">
        <v>876</v>
      </c>
      <c r="AF163" s="15" t="s">
        <v>877</v>
      </c>
      <c r="AG163" s="17"/>
      <c r="AH163" s="18">
        <v>1.0</v>
      </c>
      <c r="AI163" s="1" t="s">
        <v>878</v>
      </c>
    </row>
    <row r="164">
      <c r="A164" s="10" t="s">
        <v>879</v>
      </c>
      <c r="B164" s="10">
        <v>2025.0</v>
      </c>
      <c r="C164" s="10" t="s">
        <v>340</v>
      </c>
      <c r="D164" s="10" t="s">
        <v>880</v>
      </c>
      <c r="E164" s="10" t="s">
        <v>35</v>
      </c>
      <c r="F164" s="10" t="s">
        <v>45</v>
      </c>
      <c r="G164" s="10">
        <v>48.0</v>
      </c>
      <c r="H164" s="10">
        <v>48.0</v>
      </c>
      <c r="I164" s="10">
        <v>48.0</v>
      </c>
      <c r="J164" s="10">
        <v>48.0</v>
      </c>
      <c r="K164" s="10">
        <v>48.0</v>
      </c>
      <c r="L164" s="10">
        <v>48.0</v>
      </c>
      <c r="AB164" s="17"/>
      <c r="AC164" s="1" t="s">
        <v>728</v>
      </c>
      <c r="AD164" s="17">
        <v>46287.40141494213</v>
      </c>
      <c r="AE164" s="1" t="s">
        <v>881</v>
      </c>
      <c r="AF164" s="15" t="s">
        <v>882</v>
      </c>
      <c r="AG164" s="17"/>
      <c r="AH164" s="18">
        <v>1.0</v>
      </c>
      <c r="AI164" s="1" t="s">
        <v>883</v>
      </c>
    </row>
    <row r="165">
      <c r="A165" s="10" t="s">
        <v>884</v>
      </c>
      <c r="B165" s="10">
        <v>2026.0</v>
      </c>
      <c r="C165" s="10" t="s">
        <v>374</v>
      </c>
      <c r="D165" s="10" t="s">
        <v>885</v>
      </c>
      <c r="E165" s="10" t="s">
        <v>41</v>
      </c>
      <c r="F165" s="10" t="s">
        <v>59</v>
      </c>
      <c r="G165" s="10">
        <v>41.0</v>
      </c>
      <c r="H165" s="10">
        <v>42.0</v>
      </c>
      <c r="I165" s="10">
        <v>36.0</v>
      </c>
      <c r="J165" s="10">
        <v>54.0</v>
      </c>
      <c r="K165" s="10">
        <v>53.0</v>
      </c>
      <c r="L165" s="10">
        <v>43.0</v>
      </c>
      <c r="AB165" s="17"/>
      <c r="AC165" s="1" t="s">
        <v>728</v>
      </c>
      <c r="AD165" s="17">
        <v>46287.40207135417</v>
      </c>
      <c r="AE165" s="1" t="s">
        <v>886</v>
      </c>
      <c r="AF165" s="15" t="s">
        <v>887</v>
      </c>
      <c r="AG165" s="17"/>
      <c r="AH165" s="18">
        <v>1.0</v>
      </c>
      <c r="AI165" s="1" t="s">
        <v>888</v>
      </c>
    </row>
    <row r="166">
      <c r="A166" s="10" t="s">
        <v>889</v>
      </c>
      <c r="B166" s="10">
        <v>2025.0</v>
      </c>
      <c r="C166" s="10" t="s">
        <v>266</v>
      </c>
      <c r="D166" s="10" t="s">
        <v>890</v>
      </c>
      <c r="E166" s="10" t="s">
        <v>41</v>
      </c>
      <c r="F166" s="10" t="s">
        <v>59</v>
      </c>
      <c r="G166" s="10">
        <v>22.0</v>
      </c>
      <c r="H166" s="10">
        <v>32.0</v>
      </c>
      <c r="I166" s="10">
        <v>44.0</v>
      </c>
      <c r="J166" s="10">
        <v>57.0</v>
      </c>
      <c r="K166" s="10">
        <v>50.0</v>
      </c>
      <c r="L166" s="10">
        <v>52.0</v>
      </c>
      <c r="AB166" s="17"/>
      <c r="AC166" s="1" t="s">
        <v>728</v>
      </c>
      <c r="AD166" s="17">
        <v>46287.4022137963</v>
      </c>
      <c r="AE166" s="1" t="s">
        <v>891</v>
      </c>
      <c r="AF166" s="15" t="s">
        <v>892</v>
      </c>
      <c r="AG166" s="17"/>
      <c r="AH166" s="18">
        <v>1.0</v>
      </c>
      <c r="AI166" s="1" t="s">
        <v>893</v>
      </c>
    </row>
    <row r="167">
      <c r="A167" s="10" t="s">
        <v>894</v>
      </c>
      <c r="B167" s="10">
        <v>2025.0</v>
      </c>
      <c r="C167" s="10" t="s">
        <v>591</v>
      </c>
      <c r="D167" s="10" t="s">
        <v>895</v>
      </c>
      <c r="E167" s="10" t="s">
        <v>35</v>
      </c>
      <c r="F167" s="10" t="s">
        <v>45</v>
      </c>
      <c r="G167" s="10">
        <v>52.0</v>
      </c>
      <c r="H167" s="10">
        <v>44.0</v>
      </c>
      <c r="I167" s="10">
        <v>52.0</v>
      </c>
      <c r="J167" s="10">
        <v>50.0</v>
      </c>
      <c r="K167" s="10">
        <v>47.0</v>
      </c>
      <c r="L167" s="10">
        <v>48.0</v>
      </c>
      <c r="AB167" s="17"/>
      <c r="AC167" s="1" t="s">
        <v>728</v>
      </c>
      <c r="AD167" s="17">
        <v>46287.40253140046</v>
      </c>
      <c r="AE167" s="1" t="s">
        <v>896</v>
      </c>
      <c r="AF167" s="15" t="s">
        <v>897</v>
      </c>
      <c r="AG167" s="17"/>
      <c r="AH167" s="18">
        <v>1.0</v>
      </c>
      <c r="AI167" s="1" t="s">
        <v>898</v>
      </c>
    </row>
    <row r="168">
      <c r="A168" s="10" t="s">
        <v>899</v>
      </c>
      <c r="B168" s="10">
        <v>2025.0</v>
      </c>
      <c r="C168" s="10" t="s">
        <v>365</v>
      </c>
      <c r="D168" s="10" t="s">
        <v>900</v>
      </c>
      <c r="E168" s="10" t="s">
        <v>35</v>
      </c>
      <c r="F168" s="10" t="s">
        <v>45</v>
      </c>
      <c r="G168" s="10">
        <v>60.0</v>
      </c>
      <c r="H168" s="10">
        <v>60.0</v>
      </c>
      <c r="I168" s="10">
        <v>60.0</v>
      </c>
      <c r="J168" s="10">
        <v>60.0</v>
      </c>
      <c r="K168" s="10">
        <v>60.0</v>
      </c>
      <c r="L168" s="10">
        <v>60.0</v>
      </c>
      <c r="AB168" s="17"/>
      <c r="AC168" s="1" t="s">
        <v>728</v>
      </c>
      <c r="AD168" s="17">
        <v>46287.402361388886</v>
      </c>
      <c r="AE168" s="1" t="s">
        <v>901</v>
      </c>
      <c r="AF168" s="15" t="s">
        <v>902</v>
      </c>
      <c r="AG168" s="17"/>
      <c r="AH168" s="18">
        <v>1.0</v>
      </c>
      <c r="AI168" s="1" t="s">
        <v>903</v>
      </c>
    </row>
    <row r="169">
      <c r="A169" s="10" t="s">
        <v>904</v>
      </c>
      <c r="B169" s="10">
        <v>2025.0</v>
      </c>
      <c r="C169" s="10" t="s">
        <v>296</v>
      </c>
      <c r="D169" s="10" t="s">
        <v>905</v>
      </c>
      <c r="E169" s="10" t="s">
        <v>41</v>
      </c>
      <c r="F169" s="10" t="s">
        <v>59</v>
      </c>
      <c r="G169" s="10">
        <v>27.0</v>
      </c>
      <c r="H169" s="10">
        <v>28.0</v>
      </c>
      <c r="I169" s="10">
        <v>50.0</v>
      </c>
      <c r="J169" s="10">
        <v>57.0</v>
      </c>
      <c r="K169" s="10">
        <v>54.0</v>
      </c>
      <c r="L169" s="10">
        <v>45.0</v>
      </c>
      <c r="AB169" s="17"/>
      <c r="AC169" s="17"/>
      <c r="AD169" s="17"/>
      <c r="AE169" s="17"/>
      <c r="AF169" s="17"/>
      <c r="AG169" s="17"/>
      <c r="AH169" s="18"/>
      <c r="AI169" s="17"/>
    </row>
    <row r="170">
      <c r="A170" s="10" t="s">
        <v>906</v>
      </c>
      <c r="B170" s="10">
        <v>2025.0</v>
      </c>
      <c r="C170" s="10" t="s">
        <v>189</v>
      </c>
      <c r="D170" s="10" t="s">
        <v>907</v>
      </c>
      <c r="E170" s="10" t="s">
        <v>42</v>
      </c>
      <c r="F170" s="10" t="s">
        <v>61</v>
      </c>
      <c r="G170" s="10">
        <v>43.0</v>
      </c>
      <c r="H170" s="10">
        <v>52.0</v>
      </c>
      <c r="I170" s="10">
        <v>44.0</v>
      </c>
      <c r="J170" s="10">
        <v>52.0</v>
      </c>
      <c r="K170" s="10">
        <v>56.0</v>
      </c>
      <c r="L170" s="10">
        <v>51.0</v>
      </c>
      <c r="AB170" s="17"/>
      <c r="AC170" s="17"/>
      <c r="AD170" s="17"/>
      <c r="AE170" s="17"/>
      <c r="AF170" s="17"/>
      <c r="AG170" s="17"/>
      <c r="AH170" s="18"/>
      <c r="AI170" s="17"/>
    </row>
    <row r="171">
      <c r="A171" s="10" t="s">
        <v>908</v>
      </c>
      <c r="B171" s="10">
        <v>2025.0</v>
      </c>
      <c r="C171" s="10" t="s">
        <v>591</v>
      </c>
      <c r="D171" s="10" t="s">
        <v>909</v>
      </c>
      <c r="E171" s="10" t="s">
        <v>41</v>
      </c>
      <c r="F171" s="10" t="s">
        <v>59</v>
      </c>
      <c r="G171" s="10">
        <v>40.0</v>
      </c>
      <c r="H171" s="10">
        <v>43.0</v>
      </c>
      <c r="I171" s="10">
        <v>38.0</v>
      </c>
      <c r="J171" s="10">
        <v>48.0</v>
      </c>
      <c r="K171" s="10">
        <v>43.0</v>
      </c>
      <c r="L171" s="10">
        <v>45.0</v>
      </c>
      <c r="AB171" s="17"/>
      <c r="AC171" s="1" t="s">
        <v>728</v>
      </c>
      <c r="AD171" s="17">
        <v>46287.40266865741</v>
      </c>
      <c r="AE171" s="1" t="s">
        <v>910</v>
      </c>
      <c r="AF171" s="15" t="s">
        <v>911</v>
      </c>
      <c r="AG171" s="17"/>
      <c r="AH171" s="18">
        <v>1.0</v>
      </c>
      <c r="AI171" s="1" t="s">
        <v>912</v>
      </c>
    </row>
    <row r="172">
      <c r="A172" s="10" t="s">
        <v>913</v>
      </c>
      <c r="B172" s="10">
        <v>2025.0</v>
      </c>
      <c r="C172" s="10" t="s">
        <v>914</v>
      </c>
      <c r="D172" s="10" t="s">
        <v>915</v>
      </c>
      <c r="E172" s="10" t="s">
        <v>42</v>
      </c>
      <c r="F172" s="10" t="s">
        <v>61</v>
      </c>
      <c r="G172" s="10">
        <v>46.0</v>
      </c>
      <c r="H172" s="10">
        <v>45.0</v>
      </c>
      <c r="I172" s="10">
        <v>45.0</v>
      </c>
      <c r="J172" s="10">
        <v>47.0</v>
      </c>
      <c r="K172" s="10">
        <v>48.0</v>
      </c>
      <c r="L172" s="10">
        <v>44.0</v>
      </c>
      <c r="AB172" s="17"/>
      <c r="AC172" s="17"/>
      <c r="AD172" s="17"/>
      <c r="AE172" s="17"/>
      <c r="AF172" s="17"/>
      <c r="AG172" s="17"/>
      <c r="AH172" s="18"/>
      <c r="AI172" s="17"/>
    </row>
    <row r="173">
      <c r="A173" s="10" t="s">
        <v>916</v>
      </c>
      <c r="B173" s="10">
        <v>2025.0</v>
      </c>
      <c r="C173" s="10" t="s">
        <v>239</v>
      </c>
      <c r="D173" s="10" t="s">
        <v>917</v>
      </c>
      <c r="E173" s="10" t="s">
        <v>37</v>
      </c>
      <c r="F173" s="10" t="s">
        <v>50</v>
      </c>
      <c r="G173" s="10">
        <v>59.0</v>
      </c>
      <c r="H173" s="10">
        <v>60.0</v>
      </c>
      <c r="I173" s="10">
        <v>51.0</v>
      </c>
      <c r="J173" s="10">
        <v>59.0</v>
      </c>
      <c r="K173" s="10">
        <v>58.0</v>
      </c>
      <c r="L173" s="10">
        <v>58.0</v>
      </c>
      <c r="AB173" s="17"/>
      <c r="AC173" s="17"/>
      <c r="AD173" s="17"/>
      <c r="AE173" s="17"/>
      <c r="AF173" s="17"/>
      <c r="AG173" s="17"/>
      <c r="AH173" s="18"/>
      <c r="AI173" s="17"/>
    </row>
    <row r="174">
      <c r="A174" s="10" t="s">
        <v>918</v>
      </c>
      <c r="B174" s="10">
        <v>2025.0</v>
      </c>
      <c r="C174" s="10" t="s">
        <v>173</v>
      </c>
      <c r="D174" s="10" t="s">
        <v>919</v>
      </c>
      <c r="E174" s="10" t="s">
        <v>41</v>
      </c>
      <c r="F174" s="10" t="s">
        <v>59</v>
      </c>
      <c r="G174" s="10">
        <v>43.0</v>
      </c>
      <c r="H174" s="10">
        <v>45.0</v>
      </c>
      <c r="I174" s="10">
        <v>43.0</v>
      </c>
      <c r="J174" s="10">
        <v>58.0</v>
      </c>
      <c r="K174" s="10">
        <v>52.0</v>
      </c>
      <c r="L174" s="10">
        <v>58.0</v>
      </c>
      <c r="AB174" s="17"/>
      <c r="AC174" s="1" t="s">
        <v>728</v>
      </c>
      <c r="AD174" s="17">
        <v>46287.40279836806</v>
      </c>
      <c r="AE174" s="1" t="s">
        <v>920</v>
      </c>
      <c r="AF174" s="15" t="s">
        <v>921</v>
      </c>
      <c r="AG174" s="17"/>
      <c r="AH174" s="18">
        <v>1.0</v>
      </c>
      <c r="AI174" s="1" t="s">
        <v>922</v>
      </c>
    </row>
    <row r="175">
      <c r="A175" s="10" t="s">
        <v>923</v>
      </c>
      <c r="B175" s="10">
        <v>2025.0</v>
      </c>
      <c r="C175" s="10" t="s">
        <v>924</v>
      </c>
      <c r="D175" s="10" t="s">
        <v>925</v>
      </c>
      <c r="E175" s="10" t="s">
        <v>41</v>
      </c>
      <c r="F175" s="10" t="s">
        <v>59</v>
      </c>
      <c r="G175" s="10">
        <v>42.0</v>
      </c>
      <c r="H175" s="10">
        <v>44.0</v>
      </c>
      <c r="I175" s="10">
        <v>30.0</v>
      </c>
      <c r="J175" s="10">
        <v>58.0</v>
      </c>
      <c r="K175" s="10">
        <v>56.0</v>
      </c>
      <c r="L175" s="10">
        <v>44.0</v>
      </c>
      <c r="AB175" s="17"/>
      <c r="AC175" s="17"/>
      <c r="AD175" s="17"/>
      <c r="AE175" s="17"/>
      <c r="AF175" s="17"/>
      <c r="AG175" s="17"/>
      <c r="AH175" s="18"/>
      <c r="AI175" s="17"/>
    </row>
    <row r="176">
      <c r="A176" s="10" t="s">
        <v>926</v>
      </c>
      <c r="B176" s="10">
        <v>2025.0</v>
      </c>
      <c r="C176" s="10" t="s">
        <v>189</v>
      </c>
      <c r="D176" s="10" t="s">
        <v>927</v>
      </c>
      <c r="E176" s="10" t="s">
        <v>41</v>
      </c>
      <c r="F176" s="10" t="s">
        <v>59</v>
      </c>
      <c r="G176" s="10">
        <v>41.0</v>
      </c>
      <c r="H176" s="10">
        <v>47.0</v>
      </c>
      <c r="I176" s="10">
        <v>56.0</v>
      </c>
      <c r="J176" s="10">
        <v>60.0</v>
      </c>
      <c r="K176" s="10">
        <v>56.0</v>
      </c>
      <c r="L176" s="10">
        <v>53.0</v>
      </c>
      <c r="AB176" s="17"/>
      <c r="AC176" s="17"/>
      <c r="AD176" s="17"/>
      <c r="AE176" s="17"/>
      <c r="AF176" s="17"/>
      <c r="AG176" s="17"/>
      <c r="AH176" s="18"/>
      <c r="AI176" s="17"/>
    </row>
    <row r="177">
      <c r="A177" s="10" t="s">
        <v>928</v>
      </c>
      <c r="B177" s="10">
        <v>2025.0</v>
      </c>
      <c r="C177" s="10" t="s">
        <v>340</v>
      </c>
      <c r="D177" s="10" t="s">
        <v>929</v>
      </c>
      <c r="E177" s="10" t="s">
        <v>37</v>
      </c>
      <c r="F177" s="10" t="s">
        <v>50</v>
      </c>
      <c r="G177" s="10">
        <v>36.0</v>
      </c>
      <c r="H177" s="10">
        <v>39.0</v>
      </c>
      <c r="I177" s="10">
        <v>36.0</v>
      </c>
      <c r="J177" s="10">
        <v>37.0</v>
      </c>
      <c r="K177" s="10">
        <v>36.0</v>
      </c>
      <c r="L177" s="10">
        <v>38.0</v>
      </c>
      <c r="AB177" s="17"/>
      <c r="AC177" s="1" t="s">
        <v>728</v>
      </c>
      <c r="AD177" s="17">
        <v>46287.402919444445</v>
      </c>
      <c r="AE177" s="1" t="s">
        <v>930</v>
      </c>
      <c r="AF177" s="15" t="s">
        <v>931</v>
      </c>
      <c r="AG177" s="17"/>
      <c r="AH177" s="18">
        <v>1.0</v>
      </c>
      <c r="AI177" s="1" t="s">
        <v>932</v>
      </c>
    </row>
    <row r="178">
      <c r="A178" s="10" t="s">
        <v>933</v>
      </c>
      <c r="B178" s="10">
        <v>2026.0</v>
      </c>
      <c r="C178" s="10" t="s">
        <v>340</v>
      </c>
      <c r="D178" s="10" t="s">
        <v>934</v>
      </c>
      <c r="E178" s="10" t="s">
        <v>43</v>
      </c>
      <c r="F178" s="10" t="s">
        <v>66</v>
      </c>
      <c r="G178" s="10">
        <v>17.0</v>
      </c>
      <c r="H178" s="10">
        <v>41.0</v>
      </c>
      <c r="I178" s="10">
        <v>32.0</v>
      </c>
      <c r="J178" s="10">
        <v>37.0</v>
      </c>
      <c r="K178" s="10">
        <v>28.0</v>
      </c>
      <c r="L178" s="10">
        <v>48.0</v>
      </c>
      <c r="AB178" s="17"/>
      <c r="AC178" s="1" t="s">
        <v>728</v>
      </c>
      <c r="AD178" s="17">
        <v>46287.403055787036</v>
      </c>
      <c r="AE178" s="1" t="s">
        <v>935</v>
      </c>
      <c r="AF178" s="15" t="s">
        <v>936</v>
      </c>
      <c r="AG178" s="17"/>
      <c r="AH178" s="18">
        <v>1.0</v>
      </c>
      <c r="AI178" s="1" t="s">
        <v>937</v>
      </c>
    </row>
    <row r="179">
      <c r="A179" s="10" t="s">
        <v>938</v>
      </c>
      <c r="B179" s="10">
        <v>2025.0</v>
      </c>
      <c r="C179" s="10" t="s">
        <v>266</v>
      </c>
      <c r="D179" s="10" t="s">
        <v>939</v>
      </c>
      <c r="E179" s="10" t="s">
        <v>41</v>
      </c>
      <c r="F179" s="10" t="s">
        <v>59</v>
      </c>
      <c r="G179" s="10">
        <v>44.0</v>
      </c>
      <c r="H179" s="10">
        <v>46.0</v>
      </c>
      <c r="I179" s="10">
        <v>46.0</v>
      </c>
      <c r="J179" s="10">
        <v>54.0</v>
      </c>
      <c r="K179" s="10">
        <v>51.0</v>
      </c>
      <c r="L179" s="10">
        <v>50.0</v>
      </c>
      <c r="AB179" s="17"/>
      <c r="AC179" s="17"/>
      <c r="AD179" s="17"/>
      <c r="AE179" s="17"/>
      <c r="AF179" s="17"/>
      <c r="AG179" s="17"/>
      <c r="AH179" s="18"/>
      <c r="AI179" s="17"/>
    </row>
    <row r="180">
      <c r="A180" s="10" t="s">
        <v>940</v>
      </c>
      <c r="B180" s="10">
        <v>2026.0</v>
      </c>
      <c r="C180" s="10" t="s">
        <v>239</v>
      </c>
      <c r="D180" s="10" t="s">
        <v>941</v>
      </c>
      <c r="E180" s="10" t="s">
        <v>43</v>
      </c>
      <c r="F180" s="10" t="s">
        <v>66</v>
      </c>
      <c r="G180" s="10">
        <v>27.0</v>
      </c>
      <c r="H180" s="10">
        <v>34.0</v>
      </c>
      <c r="I180" s="10">
        <v>28.0</v>
      </c>
      <c r="J180" s="10">
        <v>30.0</v>
      </c>
      <c r="K180" s="10">
        <v>44.0</v>
      </c>
      <c r="L180" s="10">
        <v>49.0</v>
      </c>
      <c r="AB180" s="17"/>
      <c r="AC180" s="17"/>
      <c r="AD180" s="17"/>
      <c r="AE180" s="17"/>
      <c r="AF180" s="17"/>
      <c r="AG180" s="17"/>
      <c r="AH180" s="18"/>
      <c r="AI180" s="17"/>
    </row>
    <row r="181">
      <c r="A181" s="10" t="s">
        <v>942</v>
      </c>
      <c r="B181" s="10">
        <v>2026.0</v>
      </c>
      <c r="C181" s="10" t="s">
        <v>189</v>
      </c>
      <c r="D181" s="10" t="s">
        <v>943</v>
      </c>
      <c r="E181" s="10" t="s">
        <v>41</v>
      </c>
      <c r="F181" s="10" t="s">
        <v>59</v>
      </c>
      <c r="G181" s="10">
        <v>50.0</v>
      </c>
      <c r="H181" s="10">
        <v>49.0</v>
      </c>
      <c r="I181" s="10">
        <v>47.0</v>
      </c>
      <c r="J181" s="10">
        <v>53.0</v>
      </c>
      <c r="K181" s="10">
        <v>45.0</v>
      </c>
      <c r="L181" s="10">
        <v>48.0</v>
      </c>
      <c r="AB181" s="17"/>
      <c r="AC181" s="17"/>
      <c r="AD181" s="17"/>
      <c r="AE181" s="17"/>
      <c r="AF181" s="17"/>
      <c r="AG181" s="17"/>
      <c r="AH181" s="18"/>
      <c r="AI181" s="17"/>
    </row>
    <row r="182">
      <c r="A182" s="10" t="s">
        <v>944</v>
      </c>
      <c r="B182" s="10">
        <v>2026.0</v>
      </c>
      <c r="C182" s="10" t="s">
        <v>340</v>
      </c>
      <c r="D182" s="10" t="s">
        <v>945</v>
      </c>
      <c r="E182" s="10" t="s">
        <v>41</v>
      </c>
      <c r="F182" s="10" t="s">
        <v>59</v>
      </c>
      <c r="G182" s="10">
        <v>32.0</v>
      </c>
      <c r="H182" s="10">
        <v>27.0</v>
      </c>
      <c r="I182" s="10">
        <v>25.0</v>
      </c>
      <c r="J182" s="10">
        <v>39.0</v>
      </c>
      <c r="K182" s="10">
        <v>36.0</v>
      </c>
      <c r="L182" s="10">
        <v>30.0</v>
      </c>
      <c r="AB182" s="17"/>
      <c r="AC182" s="1" t="s">
        <v>728</v>
      </c>
      <c r="AD182" s="17">
        <v>46287.403199988425</v>
      </c>
      <c r="AE182" s="1" t="s">
        <v>946</v>
      </c>
      <c r="AF182" s="15" t="s">
        <v>947</v>
      </c>
      <c r="AG182" s="17"/>
      <c r="AH182" s="18">
        <v>1.0</v>
      </c>
      <c r="AI182" s="1" t="s">
        <v>948</v>
      </c>
    </row>
    <row r="183">
      <c r="A183" s="10" t="s">
        <v>949</v>
      </c>
      <c r="B183" s="10">
        <v>2025.0</v>
      </c>
      <c r="C183" s="10" t="s">
        <v>219</v>
      </c>
      <c r="D183" s="10" t="s">
        <v>950</v>
      </c>
      <c r="E183" s="10" t="s">
        <v>41</v>
      </c>
      <c r="F183" s="10" t="s">
        <v>59</v>
      </c>
      <c r="G183" s="10">
        <v>59.0</v>
      </c>
      <c r="H183" s="10">
        <v>55.0</v>
      </c>
      <c r="I183" s="10">
        <v>44.0</v>
      </c>
      <c r="J183" s="10">
        <v>60.0</v>
      </c>
      <c r="K183" s="10">
        <v>57.0</v>
      </c>
      <c r="L183" s="10">
        <v>52.0</v>
      </c>
      <c r="AB183" s="17"/>
      <c r="AC183" s="17"/>
      <c r="AD183" s="17"/>
      <c r="AE183" s="17"/>
      <c r="AF183" s="17"/>
      <c r="AG183" s="17"/>
      <c r="AH183" s="18"/>
      <c r="AI183" s="17"/>
    </row>
    <row r="184">
      <c r="A184" s="10" t="s">
        <v>951</v>
      </c>
      <c r="B184" s="10">
        <v>2026.0</v>
      </c>
      <c r="C184" s="10" t="s">
        <v>296</v>
      </c>
      <c r="D184" s="10" t="s">
        <v>952</v>
      </c>
      <c r="E184" s="10" t="s">
        <v>40</v>
      </c>
      <c r="F184" s="10" t="s">
        <v>58</v>
      </c>
      <c r="G184" s="10">
        <v>16.0</v>
      </c>
      <c r="H184" s="10">
        <v>16.0</v>
      </c>
      <c r="I184" s="10">
        <v>48.0</v>
      </c>
      <c r="J184" s="10">
        <v>43.0</v>
      </c>
      <c r="K184" s="10">
        <v>28.0</v>
      </c>
      <c r="L184" s="10">
        <v>16.0</v>
      </c>
      <c r="AB184" s="17"/>
      <c r="AC184" s="17"/>
      <c r="AD184" s="17"/>
      <c r="AE184" s="17"/>
      <c r="AF184" s="17"/>
      <c r="AG184" s="17"/>
      <c r="AH184" s="18"/>
      <c r="AI184" s="17"/>
    </row>
    <row r="185">
      <c r="A185" s="10" t="s">
        <v>953</v>
      </c>
      <c r="B185" s="10">
        <v>2026.0</v>
      </c>
      <c r="C185" s="10" t="s">
        <v>365</v>
      </c>
      <c r="D185" s="10" t="s">
        <v>954</v>
      </c>
      <c r="E185" s="10" t="s">
        <v>40</v>
      </c>
      <c r="F185" s="10" t="s">
        <v>58</v>
      </c>
      <c r="G185" s="10">
        <v>25.0</v>
      </c>
      <c r="H185" s="10">
        <v>39.0</v>
      </c>
      <c r="I185" s="10">
        <v>50.0</v>
      </c>
      <c r="J185" s="10">
        <v>38.0</v>
      </c>
      <c r="K185" s="10">
        <v>36.0</v>
      </c>
      <c r="L185" s="10">
        <v>38.0</v>
      </c>
      <c r="AB185" s="17"/>
      <c r="AC185" s="1" t="s">
        <v>728</v>
      </c>
      <c r="AD185" s="17">
        <v>46287.40331703704</v>
      </c>
      <c r="AE185" s="1" t="s">
        <v>955</v>
      </c>
      <c r="AF185" s="15" t="s">
        <v>956</v>
      </c>
      <c r="AG185" s="17"/>
      <c r="AH185" s="18">
        <v>1.0</v>
      </c>
      <c r="AI185" s="1" t="s">
        <v>957</v>
      </c>
    </row>
    <row r="186">
      <c r="A186" s="10" t="s">
        <v>958</v>
      </c>
      <c r="B186" s="10">
        <v>2025.0</v>
      </c>
      <c r="C186" s="10" t="s">
        <v>239</v>
      </c>
      <c r="D186" s="10" t="s">
        <v>959</v>
      </c>
      <c r="E186" s="10" t="s">
        <v>40</v>
      </c>
      <c r="F186" s="10" t="s">
        <v>58</v>
      </c>
      <c r="G186" s="10">
        <v>50.0</v>
      </c>
      <c r="H186" s="10">
        <v>52.0</v>
      </c>
      <c r="I186" s="10">
        <v>57.0</v>
      </c>
      <c r="J186" s="10">
        <v>56.0</v>
      </c>
      <c r="K186" s="10">
        <v>51.0</v>
      </c>
      <c r="L186" s="10">
        <v>48.0</v>
      </c>
      <c r="AB186" s="17"/>
      <c r="AC186" s="1" t="s">
        <v>728</v>
      </c>
      <c r="AD186" s="17">
        <v>46287.40347585648</v>
      </c>
      <c r="AE186" s="1" t="s">
        <v>960</v>
      </c>
      <c r="AF186" s="15" t="s">
        <v>961</v>
      </c>
      <c r="AG186" s="17"/>
      <c r="AH186" s="18">
        <v>1.0</v>
      </c>
      <c r="AI186" s="1" t="s">
        <v>962</v>
      </c>
    </row>
    <row r="187">
      <c r="A187" s="10" t="s">
        <v>963</v>
      </c>
      <c r="B187" s="10">
        <v>2025.0</v>
      </c>
      <c r="C187" s="10" t="s">
        <v>239</v>
      </c>
      <c r="D187" s="10" t="s">
        <v>964</v>
      </c>
      <c r="E187" s="10" t="s">
        <v>41</v>
      </c>
      <c r="F187" s="10" t="s">
        <v>59</v>
      </c>
      <c r="G187" s="10">
        <v>51.0</v>
      </c>
      <c r="H187" s="10">
        <v>50.0</v>
      </c>
      <c r="I187" s="10">
        <v>44.0</v>
      </c>
      <c r="J187" s="10">
        <v>60.0</v>
      </c>
      <c r="K187" s="10">
        <v>58.0</v>
      </c>
      <c r="L187" s="10">
        <v>50.0</v>
      </c>
      <c r="AB187" s="17"/>
      <c r="AC187" s="1" t="s">
        <v>728</v>
      </c>
      <c r="AD187" s="17">
        <v>46287.403601412036</v>
      </c>
      <c r="AE187" s="1" t="s">
        <v>965</v>
      </c>
      <c r="AF187" s="15" t="s">
        <v>966</v>
      </c>
      <c r="AG187" s="17"/>
      <c r="AH187" s="18">
        <v>1.0</v>
      </c>
      <c r="AI187" s="1" t="s">
        <v>967</v>
      </c>
    </row>
    <row r="188">
      <c r="A188" s="10" t="s">
        <v>968</v>
      </c>
      <c r="B188" s="10">
        <v>2025.0</v>
      </c>
      <c r="C188" s="10" t="s">
        <v>768</v>
      </c>
      <c r="D188" s="10" t="s">
        <v>969</v>
      </c>
      <c r="E188" s="10" t="s">
        <v>41</v>
      </c>
      <c r="F188" s="10" t="s">
        <v>59</v>
      </c>
      <c r="G188" s="10">
        <v>45.0</v>
      </c>
      <c r="H188" s="10">
        <v>50.0</v>
      </c>
      <c r="I188" s="10">
        <v>50.0</v>
      </c>
      <c r="J188" s="10">
        <v>59.0</v>
      </c>
      <c r="K188" s="10">
        <v>56.0</v>
      </c>
      <c r="L188" s="10">
        <v>52.0</v>
      </c>
      <c r="AB188" s="17"/>
      <c r="AC188" s="17"/>
      <c r="AD188" s="17"/>
      <c r="AE188" s="17"/>
      <c r="AF188" s="17"/>
      <c r="AG188" s="17"/>
      <c r="AH188" s="18"/>
      <c r="AI188" s="17"/>
    </row>
    <row r="189">
      <c r="A189" s="10" t="s">
        <v>970</v>
      </c>
      <c r="B189" s="10">
        <v>2026.0</v>
      </c>
      <c r="C189" s="10" t="s">
        <v>356</v>
      </c>
      <c r="D189" s="10" t="s">
        <v>971</v>
      </c>
      <c r="E189" s="10" t="s">
        <v>41</v>
      </c>
      <c r="F189" s="10" t="s">
        <v>59</v>
      </c>
      <c r="G189" s="10">
        <v>45.0</v>
      </c>
      <c r="H189" s="10">
        <v>46.0</v>
      </c>
      <c r="I189" s="10">
        <v>31.0</v>
      </c>
      <c r="J189" s="10">
        <v>49.0</v>
      </c>
      <c r="K189" s="10">
        <v>48.0</v>
      </c>
      <c r="L189" s="10">
        <v>46.0</v>
      </c>
      <c r="AB189" s="17"/>
      <c r="AC189" s="17"/>
      <c r="AD189" s="17"/>
      <c r="AE189" s="17"/>
      <c r="AF189" s="17"/>
      <c r="AG189" s="17"/>
      <c r="AH189" s="18"/>
      <c r="AI189" s="17"/>
    </row>
    <row r="190">
      <c r="A190" s="10" t="s">
        <v>972</v>
      </c>
      <c r="B190" s="10">
        <v>2025.0</v>
      </c>
      <c r="C190" s="10" t="s">
        <v>189</v>
      </c>
      <c r="D190" s="10" t="s">
        <v>973</v>
      </c>
      <c r="E190" s="10" t="s">
        <v>41</v>
      </c>
      <c r="F190" s="10" t="s">
        <v>59</v>
      </c>
      <c r="G190" s="10">
        <v>46.0</v>
      </c>
      <c r="H190" s="10">
        <v>46.0</v>
      </c>
      <c r="I190" s="10">
        <v>47.0</v>
      </c>
      <c r="J190" s="10">
        <v>50.0</v>
      </c>
      <c r="K190" s="10">
        <v>49.0</v>
      </c>
      <c r="L190" s="10">
        <v>48.0</v>
      </c>
      <c r="AB190" s="17"/>
      <c r="AC190" s="17"/>
      <c r="AD190" s="17"/>
      <c r="AE190" s="17"/>
      <c r="AF190" s="17"/>
      <c r="AG190" s="17"/>
      <c r="AH190" s="18"/>
      <c r="AI190" s="17"/>
    </row>
    <row r="191">
      <c r="A191" s="10" t="s">
        <v>974</v>
      </c>
      <c r="B191" s="10">
        <v>2025.0</v>
      </c>
      <c r="C191" s="10" t="s">
        <v>975</v>
      </c>
      <c r="D191" s="10" t="s">
        <v>976</v>
      </c>
      <c r="E191" s="10" t="s">
        <v>42</v>
      </c>
      <c r="F191" s="10" t="s">
        <v>61</v>
      </c>
      <c r="G191" s="10">
        <v>44.0</v>
      </c>
      <c r="H191" s="10">
        <v>47.0</v>
      </c>
      <c r="I191" s="10">
        <v>46.0</v>
      </c>
      <c r="J191" s="10">
        <v>47.0</v>
      </c>
      <c r="K191" s="10">
        <v>48.0</v>
      </c>
      <c r="L191" s="10">
        <v>45.0</v>
      </c>
      <c r="AB191" s="17"/>
      <c r="AC191" s="17"/>
      <c r="AD191" s="17"/>
      <c r="AE191" s="17"/>
      <c r="AF191" s="17"/>
      <c r="AG191" s="17"/>
      <c r="AH191" s="18"/>
      <c r="AI191" s="17"/>
    </row>
    <row r="192">
      <c r="A192" s="10" t="s">
        <v>977</v>
      </c>
      <c r="B192" s="10">
        <v>2025.0</v>
      </c>
      <c r="C192" s="10" t="s">
        <v>173</v>
      </c>
      <c r="D192" s="10" t="s">
        <v>978</v>
      </c>
      <c r="E192" s="10" t="s">
        <v>42</v>
      </c>
      <c r="F192" s="10" t="s">
        <v>61</v>
      </c>
      <c r="G192" s="10">
        <v>25.0</v>
      </c>
      <c r="H192" s="10">
        <v>29.0</v>
      </c>
      <c r="I192" s="10">
        <v>27.0</v>
      </c>
      <c r="J192" s="10">
        <v>42.0</v>
      </c>
      <c r="K192" s="10">
        <v>45.0</v>
      </c>
      <c r="L192" s="10">
        <v>42.0</v>
      </c>
      <c r="AB192" s="17"/>
      <c r="AC192" s="1" t="s">
        <v>728</v>
      </c>
      <c r="AD192" s="17">
        <v>46287.40373440972</v>
      </c>
      <c r="AE192" s="1" t="s">
        <v>979</v>
      </c>
      <c r="AF192" s="15" t="s">
        <v>980</v>
      </c>
      <c r="AG192" s="17"/>
      <c r="AH192" s="18">
        <v>1.0</v>
      </c>
      <c r="AI192" s="1" t="s">
        <v>981</v>
      </c>
    </row>
    <row r="193">
      <c r="A193" s="10" t="s">
        <v>982</v>
      </c>
      <c r="B193" s="10">
        <v>2025.0</v>
      </c>
      <c r="C193" s="10" t="s">
        <v>173</v>
      </c>
      <c r="D193" s="10" t="s">
        <v>983</v>
      </c>
      <c r="E193" s="10" t="s">
        <v>41</v>
      </c>
      <c r="F193" s="10" t="s">
        <v>59</v>
      </c>
      <c r="G193" s="10">
        <v>51.0</v>
      </c>
      <c r="H193" s="10">
        <v>54.0</v>
      </c>
      <c r="I193" s="10">
        <v>40.0</v>
      </c>
      <c r="J193" s="10">
        <v>60.0</v>
      </c>
      <c r="K193" s="10">
        <v>59.0</v>
      </c>
      <c r="L193" s="10">
        <v>58.0</v>
      </c>
      <c r="AB193" s="17"/>
      <c r="AC193" s="17"/>
      <c r="AD193" s="17"/>
      <c r="AE193" s="17"/>
      <c r="AF193" s="17"/>
      <c r="AG193" s="17"/>
      <c r="AH193" s="18"/>
      <c r="AI193" s="17"/>
    </row>
    <row r="194">
      <c r="A194" s="10" t="s">
        <v>984</v>
      </c>
      <c r="B194" s="10">
        <v>2026.0</v>
      </c>
      <c r="C194" s="10" t="s">
        <v>356</v>
      </c>
      <c r="D194" s="10" t="s">
        <v>985</v>
      </c>
      <c r="E194" s="10" t="s">
        <v>35</v>
      </c>
      <c r="F194" s="10" t="s">
        <v>45</v>
      </c>
      <c r="G194" s="10">
        <v>47.0</v>
      </c>
      <c r="H194" s="10">
        <v>46.0</v>
      </c>
      <c r="I194" s="10">
        <v>35.0</v>
      </c>
      <c r="J194" s="10">
        <v>43.0</v>
      </c>
      <c r="K194" s="10">
        <v>45.0</v>
      </c>
      <c r="L194" s="10">
        <v>35.0</v>
      </c>
      <c r="AB194" s="17"/>
      <c r="AC194" s="17"/>
      <c r="AD194" s="17"/>
      <c r="AE194" s="17"/>
      <c r="AF194" s="17"/>
      <c r="AG194" s="17"/>
      <c r="AH194" s="18"/>
      <c r="AI194" s="17"/>
    </row>
    <row r="195">
      <c r="A195" s="10" t="s">
        <v>986</v>
      </c>
      <c r="B195" s="10">
        <v>2025.0</v>
      </c>
      <c r="C195" s="10" t="s">
        <v>213</v>
      </c>
      <c r="D195" s="10" t="s">
        <v>987</v>
      </c>
      <c r="E195" s="10" t="s">
        <v>41</v>
      </c>
      <c r="F195" s="10" t="s">
        <v>59</v>
      </c>
      <c r="G195" s="10">
        <v>28.0</v>
      </c>
      <c r="H195" s="10">
        <v>29.0</v>
      </c>
      <c r="I195" s="10">
        <v>42.0</v>
      </c>
      <c r="J195" s="10">
        <v>47.0</v>
      </c>
      <c r="K195" s="10">
        <v>46.0</v>
      </c>
      <c r="L195" s="10">
        <v>41.0</v>
      </c>
      <c r="AB195" s="17"/>
      <c r="AC195" s="17"/>
      <c r="AD195" s="17"/>
      <c r="AE195" s="17"/>
      <c r="AF195" s="17"/>
      <c r="AG195" s="17"/>
      <c r="AH195" s="18"/>
      <c r="AI195" s="17"/>
    </row>
    <row r="196">
      <c r="A196" s="10" t="s">
        <v>988</v>
      </c>
      <c r="B196" s="10">
        <v>2026.0</v>
      </c>
      <c r="C196" s="10" t="s">
        <v>365</v>
      </c>
      <c r="D196" s="10" t="s">
        <v>989</v>
      </c>
      <c r="E196" s="10" t="s">
        <v>41</v>
      </c>
      <c r="F196" s="10" t="s">
        <v>59</v>
      </c>
      <c r="G196" s="10">
        <v>33.0</v>
      </c>
      <c r="H196" s="10">
        <v>36.0</v>
      </c>
      <c r="I196" s="10">
        <v>44.0</v>
      </c>
      <c r="J196" s="10">
        <v>49.0</v>
      </c>
      <c r="K196" s="10">
        <v>41.0</v>
      </c>
      <c r="L196" s="10">
        <v>44.0</v>
      </c>
      <c r="AB196" s="17"/>
      <c r="AC196" s="1" t="s">
        <v>728</v>
      </c>
      <c r="AD196" s="17">
        <v>46287.403874166666</v>
      </c>
      <c r="AE196" s="1" t="s">
        <v>990</v>
      </c>
      <c r="AF196" s="15" t="s">
        <v>991</v>
      </c>
      <c r="AG196" s="17"/>
      <c r="AH196" s="18">
        <v>1.0</v>
      </c>
      <c r="AI196" s="1" t="s">
        <v>992</v>
      </c>
    </row>
    <row r="197">
      <c r="A197" s="10" t="s">
        <v>993</v>
      </c>
      <c r="B197" s="10">
        <v>2025.0</v>
      </c>
      <c r="C197" s="10" t="s">
        <v>239</v>
      </c>
      <c r="D197" s="10" t="s">
        <v>994</v>
      </c>
      <c r="E197" s="10" t="s">
        <v>43</v>
      </c>
      <c r="F197" s="10" t="s">
        <v>66</v>
      </c>
      <c r="G197" s="10">
        <v>40.0</v>
      </c>
      <c r="H197" s="10">
        <v>44.0</v>
      </c>
      <c r="I197" s="10">
        <v>23.0</v>
      </c>
      <c r="J197" s="10">
        <v>47.0</v>
      </c>
      <c r="K197" s="10">
        <v>45.0</v>
      </c>
      <c r="L197" s="10">
        <v>48.0</v>
      </c>
      <c r="AB197" s="17"/>
      <c r="AC197" s="1" t="s">
        <v>728</v>
      </c>
      <c r="AD197" s="17">
        <v>46287.40399157407</v>
      </c>
      <c r="AE197" s="1" t="s">
        <v>995</v>
      </c>
      <c r="AF197" s="15" t="s">
        <v>996</v>
      </c>
      <c r="AG197" s="17"/>
      <c r="AH197" s="18">
        <v>1.0</v>
      </c>
      <c r="AI197" s="1" t="s">
        <v>997</v>
      </c>
    </row>
    <row r="198">
      <c r="A198" s="10" t="s">
        <v>998</v>
      </c>
      <c r="B198" s="10">
        <v>2025.0</v>
      </c>
      <c r="C198" s="10"/>
      <c r="D198" s="10" t="s">
        <v>999</v>
      </c>
      <c r="E198" s="10" t="s">
        <v>41</v>
      </c>
      <c r="F198" s="10" t="s">
        <v>59</v>
      </c>
      <c r="G198" s="10">
        <v>41.0</v>
      </c>
      <c r="H198" s="10">
        <v>47.0</v>
      </c>
      <c r="I198" s="10">
        <v>41.0</v>
      </c>
      <c r="J198" s="10">
        <v>48.0</v>
      </c>
      <c r="K198" s="10">
        <v>48.0</v>
      </c>
      <c r="L198" s="10">
        <v>44.0</v>
      </c>
      <c r="AB198" s="17"/>
      <c r="AC198" s="17"/>
      <c r="AD198" s="17"/>
      <c r="AE198" s="17"/>
      <c r="AF198" s="17"/>
      <c r="AG198" s="17"/>
      <c r="AH198" s="18"/>
      <c r="AI198" s="17"/>
    </row>
    <row r="199">
      <c r="A199" s="10" t="s">
        <v>1000</v>
      </c>
      <c r="B199" s="10">
        <v>2026.0</v>
      </c>
      <c r="C199" s="10" t="s">
        <v>356</v>
      </c>
      <c r="D199" s="10" t="s">
        <v>1001</v>
      </c>
      <c r="E199" s="10" t="s">
        <v>41</v>
      </c>
      <c r="F199" s="10" t="s">
        <v>59</v>
      </c>
      <c r="G199" s="10">
        <v>28.0</v>
      </c>
      <c r="H199" s="10">
        <v>26.0</v>
      </c>
      <c r="I199" s="10">
        <v>25.0</v>
      </c>
      <c r="J199" s="10">
        <v>36.0</v>
      </c>
      <c r="K199" s="10">
        <v>36.0</v>
      </c>
      <c r="L199" s="10">
        <v>28.0</v>
      </c>
      <c r="AB199" s="17"/>
      <c r="AC199" s="17"/>
      <c r="AD199" s="17"/>
      <c r="AE199" s="17"/>
      <c r="AF199" s="17"/>
      <c r="AG199" s="17"/>
      <c r="AH199" s="18"/>
      <c r="AI199" s="17"/>
    </row>
    <row r="200">
      <c r="A200" s="10" t="s">
        <v>1002</v>
      </c>
      <c r="B200" s="10">
        <v>2025.0</v>
      </c>
      <c r="C200" s="10" t="s">
        <v>356</v>
      </c>
      <c r="D200" s="10" t="s">
        <v>1003</v>
      </c>
      <c r="E200" s="10" t="s">
        <v>41</v>
      </c>
      <c r="F200" s="10" t="s">
        <v>59</v>
      </c>
      <c r="G200" s="10">
        <v>38.0</v>
      </c>
      <c r="H200" s="10">
        <v>36.0</v>
      </c>
      <c r="I200" s="10">
        <v>35.0</v>
      </c>
      <c r="J200" s="10">
        <v>41.0</v>
      </c>
      <c r="K200" s="10">
        <v>38.0</v>
      </c>
      <c r="L200" s="10">
        <v>40.0</v>
      </c>
      <c r="AB200" s="17"/>
      <c r="AC200" s="1" t="s">
        <v>728</v>
      </c>
      <c r="AD200" s="17">
        <v>46287.4041138426</v>
      </c>
      <c r="AE200" s="1" t="s">
        <v>1004</v>
      </c>
      <c r="AF200" s="15" t="s">
        <v>1005</v>
      </c>
      <c r="AG200" s="17"/>
      <c r="AH200" s="18">
        <v>1.0</v>
      </c>
      <c r="AI200" s="1" t="s">
        <v>1006</v>
      </c>
    </row>
    <row r="201">
      <c r="A201" s="10" t="s">
        <v>1007</v>
      </c>
      <c r="B201" s="10">
        <v>2025.0</v>
      </c>
      <c r="C201" s="10" t="s">
        <v>173</v>
      </c>
      <c r="D201" s="10" t="s">
        <v>1008</v>
      </c>
      <c r="E201" s="10" t="s">
        <v>40</v>
      </c>
      <c r="F201" s="10" t="s">
        <v>58</v>
      </c>
      <c r="G201" s="10">
        <v>47.0</v>
      </c>
      <c r="H201" s="10">
        <v>47.0</v>
      </c>
      <c r="I201" s="10">
        <v>51.0</v>
      </c>
      <c r="J201" s="10">
        <v>46.0</v>
      </c>
      <c r="K201" s="10">
        <v>44.0</v>
      </c>
      <c r="L201" s="10">
        <v>43.0</v>
      </c>
      <c r="AB201" s="17"/>
      <c r="AC201" s="17"/>
      <c r="AD201" s="17"/>
      <c r="AE201" s="17"/>
      <c r="AF201" s="17"/>
      <c r="AG201" s="17"/>
      <c r="AH201" s="18"/>
      <c r="AI201" s="17"/>
    </row>
    <row r="202">
      <c r="A202" s="10" t="s">
        <v>1009</v>
      </c>
      <c r="B202" s="10">
        <v>2025.0</v>
      </c>
      <c r="C202" s="10" t="s">
        <v>321</v>
      </c>
      <c r="D202" s="10" t="s">
        <v>1010</v>
      </c>
      <c r="E202" s="10" t="s">
        <v>43</v>
      </c>
      <c r="F202" s="10" t="s">
        <v>66</v>
      </c>
      <c r="G202" s="10">
        <v>43.0</v>
      </c>
      <c r="H202" s="10">
        <v>48.0</v>
      </c>
      <c r="I202" s="10">
        <v>41.0</v>
      </c>
      <c r="J202" s="10">
        <v>51.0</v>
      </c>
      <c r="K202" s="10">
        <v>50.0</v>
      </c>
      <c r="L202" s="10">
        <v>52.0</v>
      </c>
      <c r="AB202" s="17"/>
      <c r="AC202" s="1" t="s">
        <v>728</v>
      </c>
      <c r="AD202" s="17">
        <v>46287.404248136576</v>
      </c>
      <c r="AE202" s="1" t="s">
        <v>1011</v>
      </c>
      <c r="AF202" s="15" t="s">
        <v>1012</v>
      </c>
      <c r="AG202" s="17"/>
      <c r="AH202" s="18">
        <v>1.0</v>
      </c>
      <c r="AI202" s="1" t="s">
        <v>1013</v>
      </c>
    </row>
    <row r="203">
      <c r="A203" s="10" t="s">
        <v>1014</v>
      </c>
      <c r="B203" s="10">
        <v>2025.0</v>
      </c>
      <c r="C203" s="10" t="s">
        <v>296</v>
      </c>
      <c r="D203" s="10" t="s">
        <v>1015</v>
      </c>
      <c r="E203" s="10" t="s">
        <v>41</v>
      </c>
      <c r="F203" s="10" t="s">
        <v>59</v>
      </c>
      <c r="G203" s="10">
        <v>55.0</v>
      </c>
      <c r="H203" s="10">
        <v>48.0</v>
      </c>
      <c r="I203" s="10">
        <v>38.0</v>
      </c>
      <c r="J203" s="10">
        <v>56.0</v>
      </c>
      <c r="K203" s="10">
        <v>49.0</v>
      </c>
      <c r="L203" s="10">
        <v>55.0</v>
      </c>
      <c r="AB203" s="17"/>
      <c r="AC203" s="17"/>
      <c r="AD203" s="17"/>
      <c r="AE203" s="17"/>
      <c r="AF203" s="17"/>
      <c r="AG203" s="17"/>
      <c r="AH203" s="18"/>
      <c r="AI203" s="17"/>
    </row>
    <row r="204">
      <c r="A204" s="10" t="s">
        <v>1016</v>
      </c>
      <c r="B204" s="10">
        <v>2026.0</v>
      </c>
      <c r="C204" s="10" t="s">
        <v>239</v>
      </c>
      <c r="D204" s="10" t="s">
        <v>1017</v>
      </c>
      <c r="E204" s="10" t="s">
        <v>43</v>
      </c>
      <c r="F204" s="10" t="s">
        <v>66</v>
      </c>
      <c r="G204" s="10">
        <v>40.0</v>
      </c>
      <c r="H204" s="10">
        <v>50.0</v>
      </c>
      <c r="I204" s="10">
        <v>42.0</v>
      </c>
      <c r="J204" s="10">
        <v>48.0</v>
      </c>
      <c r="K204" s="10">
        <v>55.0</v>
      </c>
      <c r="L204" s="10">
        <v>57.0</v>
      </c>
      <c r="AB204" s="17"/>
      <c r="AC204" s="1" t="s">
        <v>728</v>
      </c>
      <c r="AD204" s="17">
        <v>46287.404366435185</v>
      </c>
      <c r="AE204" s="1" t="s">
        <v>1018</v>
      </c>
      <c r="AF204" s="15" t="s">
        <v>1019</v>
      </c>
      <c r="AG204" s="17"/>
      <c r="AH204" s="18">
        <v>1.0</v>
      </c>
      <c r="AI204" s="1" t="s">
        <v>1020</v>
      </c>
    </row>
    <row r="205">
      <c r="A205" s="10" t="s">
        <v>1021</v>
      </c>
      <c r="B205" s="10">
        <v>2025.0</v>
      </c>
      <c r="C205" s="10" t="s">
        <v>296</v>
      </c>
      <c r="D205" s="10" t="s">
        <v>1022</v>
      </c>
      <c r="E205" s="10" t="s">
        <v>40</v>
      </c>
      <c r="F205" s="10" t="s">
        <v>58</v>
      </c>
      <c r="G205" s="10">
        <v>35.0</v>
      </c>
      <c r="H205" s="10">
        <v>38.0</v>
      </c>
      <c r="I205" s="10">
        <v>49.0</v>
      </c>
      <c r="J205" s="10">
        <v>49.0</v>
      </c>
      <c r="K205" s="10">
        <v>47.0</v>
      </c>
      <c r="L205" s="10">
        <v>45.0</v>
      </c>
      <c r="AB205" s="17"/>
      <c r="AC205" s="17"/>
      <c r="AD205" s="17"/>
      <c r="AE205" s="17"/>
      <c r="AF205" s="17"/>
      <c r="AG205" s="17"/>
      <c r="AH205" s="18"/>
      <c r="AI205" s="17"/>
    </row>
    <row r="206">
      <c r="A206" s="10" t="s">
        <v>1023</v>
      </c>
      <c r="B206" s="10">
        <v>2025.0</v>
      </c>
      <c r="C206" s="10" t="s">
        <v>365</v>
      </c>
      <c r="D206" s="10" t="s">
        <v>1024</v>
      </c>
      <c r="E206" s="10" t="s">
        <v>41</v>
      </c>
      <c r="F206" s="10" t="s">
        <v>59</v>
      </c>
      <c r="G206" s="10">
        <v>36.0</v>
      </c>
      <c r="H206" s="10">
        <v>36.0</v>
      </c>
      <c r="I206" s="10">
        <v>43.0</v>
      </c>
      <c r="J206" s="10">
        <v>46.0</v>
      </c>
      <c r="K206" s="10">
        <v>38.0</v>
      </c>
      <c r="L206" s="10">
        <v>45.0</v>
      </c>
      <c r="AB206" s="17"/>
      <c r="AC206" s="17"/>
      <c r="AD206" s="17"/>
      <c r="AE206" s="17"/>
      <c r="AF206" s="17"/>
      <c r="AG206" s="17"/>
      <c r="AH206" s="18"/>
      <c r="AI206" s="17"/>
    </row>
    <row r="207">
      <c r="A207" s="10" t="s">
        <v>1025</v>
      </c>
      <c r="B207" s="10">
        <v>2025.0</v>
      </c>
      <c r="C207" s="10" t="s">
        <v>296</v>
      </c>
      <c r="D207" s="10" t="s">
        <v>1026</v>
      </c>
      <c r="E207" s="10" t="s">
        <v>41</v>
      </c>
      <c r="F207" s="10" t="s">
        <v>59</v>
      </c>
      <c r="G207" s="10">
        <v>46.0</v>
      </c>
      <c r="H207" s="10">
        <v>30.0</v>
      </c>
      <c r="I207" s="10">
        <v>33.0</v>
      </c>
      <c r="J207" s="10">
        <v>48.0</v>
      </c>
      <c r="K207" s="10">
        <v>43.0</v>
      </c>
      <c r="L207" s="10">
        <v>34.0</v>
      </c>
      <c r="AB207" s="17"/>
      <c r="AC207" s="17"/>
      <c r="AD207" s="17"/>
      <c r="AE207" s="17"/>
      <c r="AF207" s="17"/>
      <c r="AG207" s="17"/>
      <c r="AH207" s="18"/>
      <c r="AI207" s="17"/>
    </row>
    <row r="208">
      <c r="A208" s="10" t="s">
        <v>1027</v>
      </c>
      <c r="B208" s="10">
        <v>2026.0</v>
      </c>
      <c r="C208" s="10" t="s">
        <v>768</v>
      </c>
      <c r="D208" s="10" t="s">
        <v>1028</v>
      </c>
      <c r="E208" s="10" t="s">
        <v>41</v>
      </c>
      <c r="F208" s="10" t="s">
        <v>59</v>
      </c>
      <c r="G208" s="10">
        <v>51.0</v>
      </c>
      <c r="H208" s="10">
        <v>51.0</v>
      </c>
      <c r="I208" s="10">
        <v>52.0</v>
      </c>
      <c r="J208" s="10">
        <v>60.0</v>
      </c>
      <c r="K208" s="10">
        <v>57.0</v>
      </c>
      <c r="L208" s="10">
        <v>51.0</v>
      </c>
      <c r="AB208" s="17"/>
      <c r="AC208" s="1" t="s">
        <v>728</v>
      </c>
      <c r="AD208" s="17">
        <v>46287.40448496528</v>
      </c>
      <c r="AE208" s="1" t="s">
        <v>1029</v>
      </c>
      <c r="AF208" s="15" t="s">
        <v>1030</v>
      </c>
      <c r="AG208" s="17"/>
      <c r="AH208" s="18">
        <v>1.0</v>
      </c>
      <c r="AI208" s="1" t="s">
        <v>1031</v>
      </c>
    </row>
    <row r="209">
      <c r="A209" s="10" t="s">
        <v>1032</v>
      </c>
      <c r="B209" s="10">
        <v>2025.0</v>
      </c>
      <c r="C209" s="10" t="s">
        <v>340</v>
      </c>
      <c r="D209" s="10" t="s">
        <v>1033</v>
      </c>
      <c r="E209" s="10" t="s">
        <v>41</v>
      </c>
      <c r="F209" s="10" t="s">
        <v>59</v>
      </c>
      <c r="G209" s="10">
        <v>36.0</v>
      </c>
      <c r="H209" s="10">
        <v>36.0</v>
      </c>
      <c r="I209" s="10">
        <v>32.0</v>
      </c>
      <c r="J209" s="10">
        <v>42.0</v>
      </c>
      <c r="K209" s="10">
        <v>35.0</v>
      </c>
      <c r="L209" s="10">
        <v>35.0</v>
      </c>
      <c r="AB209" s="17"/>
      <c r="AC209" s="1" t="s">
        <v>728</v>
      </c>
      <c r="AD209" s="17">
        <v>46287.404745057866</v>
      </c>
      <c r="AE209" s="1" t="s">
        <v>1034</v>
      </c>
      <c r="AF209" s="15" t="s">
        <v>1035</v>
      </c>
      <c r="AG209" s="17"/>
      <c r="AH209" s="18">
        <v>1.0</v>
      </c>
      <c r="AI209" s="1" t="s">
        <v>1036</v>
      </c>
    </row>
    <row r="210">
      <c r="A210" s="10" t="s">
        <v>1037</v>
      </c>
      <c r="B210" s="10">
        <v>2002.0</v>
      </c>
      <c r="C210" s="10" t="s">
        <v>365</v>
      </c>
      <c r="D210" s="10" t="s">
        <v>1038</v>
      </c>
      <c r="E210" s="10" t="s">
        <v>35</v>
      </c>
      <c r="F210" s="10" t="s">
        <v>45</v>
      </c>
      <c r="G210" s="10">
        <v>52.0</v>
      </c>
      <c r="H210" s="10">
        <v>52.0</v>
      </c>
      <c r="I210" s="10">
        <v>44.0</v>
      </c>
      <c r="J210" s="10">
        <v>51.0</v>
      </c>
      <c r="K210" s="10">
        <v>42.0</v>
      </c>
      <c r="L210" s="10">
        <v>43.0</v>
      </c>
      <c r="AB210" s="17"/>
      <c r="AC210" s="17"/>
      <c r="AD210" s="17"/>
      <c r="AE210" s="17"/>
      <c r="AF210" s="17"/>
      <c r="AG210" s="17"/>
      <c r="AH210" s="18"/>
      <c r="AI210" s="17"/>
    </row>
    <row r="211">
      <c r="A211" s="10" t="s">
        <v>1039</v>
      </c>
      <c r="B211" s="10">
        <v>2025.0</v>
      </c>
      <c r="C211" s="10" t="s">
        <v>1040</v>
      </c>
      <c r="D211" s="10" t="s">
        <v>1041</v>
      </c>
      <c r="E211" s="10" t="s">
        <v>41</v>
      </c>
      <c r="F211" s="10" t="s">
        <v>59</v>
      </c>
      <c r="G211" s="10">
        <v>57.0</v>
      </c>
      <c r="H211" s="10">
        <v>54.0</v>
      </c>
      <c r="I211" s="10">
        <v>54.0</v>
      </c>
      <c r="J211" s="10">
        <v>60.0</v>
      </c>
      <c r="K211" s="10">
        <v>58.0</v>
      </c>
      <c r="L211" s="10">
        <v>59.0</v>
      </c>
      <c r="AB211" s="17"/>
      <c r="AC211" s="17"/>
      <c r="AD211" s="17"/>
      <c r="AE211" s="17"/>
      <c r="AF211" s="17"/>
      <c r="AG211" s="17"/>
      <c r="AH211" s="18"/>
      <c r="AI211" s="17"/>
    </row>
    <row r="212">
      <c r="A212" s="10" t="s">
        <v>1042</v>
      </c>
      <c r="B212" s="10">
        <v>2025.0</v>
      </c>
      <c r="C212" s="10" t="s">
        <v>213</v>
      </c>
      <c r="D212" s="10" t="s">
        <v>1043</v>
      </c>
      <c r="E212" s="10" t="s">
        <v>41</v>
      </c>
      <c r="F212" s="10" t="s">
        <v>59</v>
      </c>
      <c r="G212" s="10">
        <v>51.0</v>
      </c>
      <c r="H212" s="10">
        <v>48.0</v>
      </c>
      <c r="I212" s="10">
        <v>46.0</v>
      </c>
      <c r="J212" s="10">
        <v>54.0</v>
      </c>
      <c r="K212" s="10">
        <v>49.0</v>
      </c>
      <c r="L212" s="10">
        <v>49.0</v>
      </c>
      <c r="AB212" s="17"/>
      <c r="AC212" s="1" t="s">
        <v>728</v>
      </c>
      <c r="AD212" s="17">
        <v>46287.4046166551</v>
      </c>
      <c r="AE212" s="1" t="s">
        <v>1044</v>
      </c>
      <c r="AF212" s="15" t="s">
        <v>1045</v>
      </c>
      <c r="AG212" s="17"/>
      <c r="AH212" s="18">
        <v>1.0</v>
      </c>
      <c r="AI212" s="1" t="s">
        <v>1046</v>
      </c>
    </row>
    <row r="213">
      <c r="A213" s="10" t="s">
        <v>1047</v>
      </c>
      <c r="B213" s="10">
        <v>2025.0</v>
      </c>
      <c r="C213" s="10" t="s">
        <v>213</v>
      </c>
      <c r="D213" s="10" t="s">
        <v>1048</v>
      </c>
      <c r="E213" s="10" t="s">
        <v>41</v>
      </c>
      <c r="F213" s="10" t="s">
        <v>59</v>
      </c>
      <c r="G213" s="10">
        <v>21.0</v>
      </c>
      <c r="H213" s="10">
        <v>26.0</v>
      </c>
      <c r="I213" s="10">
        <v>34.0</v>
      </c>
      <c r="J213" s="10">
        <v>56.0</v>
      </c>
      <c r="K213" s="10">
        <v>53.0</v>
      </c>
      <c r="L213" s="10">
        <v>42.0</v>
      </c>
      <c r="AB213" s="17"/>
      <c r="AC213" s="1" t="s">
        <v>728</v>
      </c>
      <c r="AD213" s="17">
        <v>46287.404883738425</v>
      </c>
      <c r="AE213" s="1" t="s">
        <v>1049</v>
      </c>
      <c r="AF213" s="15" t="s">
        <v>1050</v>
      </c>
      <c r="AG213" s="17"/>
      <c r="AH213" s="18">
        <v>1.0</v>
      </c>
      <c r="AI213" s="1" t="s">
        <v>1051</v>
      </c>
    </row>
    <row r="214">
      <c r="A214" s="10" t="s">
        <v>1052</v>
      </c>
      <c r="B214" s="10">
        <v>2026.0</v>
      </c>
      <c r="C214" s="10" t="s">
        <v>924</v>
      </c>
      <c r="D214" s="10" t="s">
        <v>1053</v>
      </c>
      <c r="E214" s="10" t="s">
        <v>41</v>
      </c>
      <c r="F214" s="10" t="s">
        <v>59</v>
      </c>
      <c r="G214" s="10">
        <v>34.0</v>
      </c>
      <c r="H214" s="10">
        <v>40.0</v>
      </c>
      <c r="I214" s="10">
        <v>42.0</v>
      </c>
      <c r="J214" s="10">
        <v>54.0</v>
      </c>
      <c r="K214" s="10">
        <v>47.0</v>
      </c>
      <c r="L214" s="10">
        <v>51.0</v>
      </c>
      <c r="AB214" s="17"/>
      <c r="AC214" s="17"/>
      <c r="AD214" s="17"/>
      <c r="AE214" s="17"/>
      <c r="AF214" s="17"/>
      <c r="AG214" s="17"/>
      <c r="AH214" s="18"/>
      <c r="AI214" s="17"/>
    </row>
    <row r="215">
      <c r="A215" s="10" t="s">
        <v>1054</v>
      </c>
      <c r="B215" s="10">
        <v>2025.0</v>
      </c>
      <c r="C215" s="10" t="s">
        <v>591</v>
      </c>
      <c r="D215" s="10" t="s">
        <v>1055</v>
      </c>
      <c r="E215" s="10" t="s">
        <v>41</v>
      </c>
      <c r="F215" s="10" t="s">
        <v>59</v>
      </c>
      <c r="G215" s="10">
        <v>32.0</v>
      </c>
      <c r="H215" s="10">
        <v>28.0</v>
      </c>
      <c r="I215" s="10">
        <v>26.0</v>
      </c>
      <c r="J215" s="10">
        <v>52.0</v>
      </c>
      <c r="K215" s="10">
        <v>43.0</v>
      </c>
      <c r="L215" s="10">
        <v>43.0</v>
      </c>
      <c r="AB215" s="17"/>
      <c r="AC215" s="17"/>
      <c r="AD215" s="17"/>
      <c r="AE215" s="17"/>
      <c r="AF215" s="17"/>
      <c r="AG215" s="17"/>
      <c r="AH215" s="18"/>
      <c r="AI215" s="17"/>
    </row>
    <row r="216">
      <c r="A216" s="10" t="s">
        <v>1056</v>
      </c>
      <c r="B216" s="10">
        <v>2025.0</v>
      </c>
      <c r="C216" s="10" t="s">
        <v>356</v>
      </c>
      <c r="D216" s="10" t="s">
        <v>1057</v>
      </c>
      <c r="E216" s="10" t="s">
        <v>43</v>
      </c>
      <c r="F216" s="10" t="s">
        <v>66</v>
      </c>
      <c r="G216" s="10">
        <v>28.0</v>
      </c>
      <c r="H216" s="10">
        <v>12.0</v>
      </c>
      <c r="I216" s="10">
        <v>24.0</v>
      </c>
      <c r="J216" s="10">
        <v>36.0</v>
      </c>
      <c r="K216" s="10">
        <v>19.0</v>
      </c>
      <c r="L216" s="10">
        <v>44.0</v>
      </c>
      <c r="AB216" s="17"/>
      <c r="AC216" s="1" t="s">
        <v>728</v>
      </c>
      <c r="AD216" s="17">
        <v>46287.405022858795</v>
      </c>
      <c r="AE216" s="1" t="s">
        <v>1058</v>
      </c>
      <c r="AF216" s="15" t="s">
        <v>1059</v>
      </c>
      <c r="AG216" s="17"/>
      <c r="AH216" s="18">
        <v>1.0</v>
      </c>
      <c r="AI216" s="1" t="s">
        <v>1060</v>
      </c>
    </row>
    <row r="217">
      <c r="A217" s="10" t="s">
        <v>1061</v>
      </c>
      <c r="B217" s="10">
        <v>2026.0</v>
      </c>
      <c r="C217" s="10" t="s">
        <v>225</v>
      </c>
      <c r="D217" s="10" t="s">
        <v>1062</v>
      </c>
      <c r="E217" s="10" t="s">
        <v>42</v>
      </c>
      <c r="F217" s="10" t="s">
        <v>61</v>
      </c>
      <c r="G217" s="10">
        <v>32.0</v>
      </c>
      <c r="H217" s="10">
        <v>35.0</v>
      </c>
      <c r="I217" s="10">
        <v>35.0</v>
      </c>
      <c r="J217" s="10">
        <v>37.0</v>
      </c>
      <c r="K217" s="10">
        <v>38.0</v>
      </c>
      <c r="L217" s="10">
        <v>37.0</v>
      </c>
      <c r="AB217" s="17"/>
      <c r="AC217" s="1" t="s">
        <v>728</v>
      </c>
      <c r="AD217" s="17">
        <v>46287.405157685185</v>
      </c>
      <c r="AE217" s="1" t="s">
        <v>1063</v>
      </c>
      <c r="AF217" s="15" t="s">
        <v>1064</v>
      </c>
      <c r="AG217" s="17"/>
      <c r="AH217" s="18">
        <v>1.0</v>
      </c>
      <c r="AI217" s="1" t="s">
        <v>1065</v>
      </c>
    </row>
    <row r="218">
      <c r="A218" s="10" t="s">
        <v>1066</v>
      </c>
      <c r="B218" s="10">
        <v>2025.0</v>
      </c>
      <c r="C218" s="10"/>
      <c r="D218" s="10" t="s">
        <v>1067</v>
      </c>
      <c r="E218" s="10" t="s">
        <v>41</v>
      </c>
      <c r="F218" s="10" t="s">
        <v>59</v>
      </c>
      <c r="G218" s="10">
        <v>31.0</v>
      </c>
      <c r="H218" s="10">
        <v>36.0</v>
      </c>
      <c r="I218" s="10">
        <v>46.0</v>
      </c>
      <c r="J218" s="10">
        <v>52.0</v>
      </c>
      <c r="K218" s="10">
        <v>36.0</v>
      </c>
      <c r="L218" s="10">
        <v>49.0</v>
      </c>
      <c r="AB218" s="17"/>
      <c r="AC218" s="1" t="s">
        <v>728</v>
      </c>
      <c r="AD218" s="17">
        <v>46287.405280879626</v>
      </c>
      <c r="AE218" s="1" t="s">
        <v>1068</v>
      </c>
      <c r="AF218" s="15" t="s">
        <v>1069</v>
      </c>
      <c r="AG218" s="17"/>
      <c r="AH218" s="18">
        <v>1.0</v>
      </c>
      <c r="AI218" s="1" t="s">
        <v>1070</v>
      </c>
    </row>
    <row r="219">
      <c r="A219" s="10" t="s">
        <v>1071</v>
      </c>
      <c r="B219" s="10">
        <v>2025.0</v>
      </c>
      <c r="C219" s="10" t="s">
        <v>277</v>
      </c>
      <c r="D219" s="10" t="s">
        <v>1072</v>
      </c>
      <c r="E219" s="10" t="s">
        <v>41</v>
      </c>
      <c r="F219" s="10" t="s">
        <v>59</v>
      </c>
      <c r="G219" s="10">
        <v>45.0</v>
      </c>
      <c r="H219" s="10">
        <v>41.0</v>
      </c>
      <c r="I219" s="10">
        <v>41.0</v>
      </c>
      <c r="J219" s="10">
        <v>50.0</v>
      </c>
      <c r="K219" s="10">
        <v>43.0</v>
      </c>
      <c r="L219" s="10">
        <v>34.0</v>
      </c>
      <c r="AB219" s="17"/>
      <c r="AC219" s="17"/>
      <c r="AD219" s="17"/>
      <c r="AE219" s="17"/>
      <c r="AF219" s="17"/>
      <c r="AG219" s="17"/>
      <c r="AH219" s="18"/>
      <c r="AI219" s="17"/>
    </row>
    <row r="220">
      <c r="A220" s="10" t="s">
        <v>1073</v>
      </c>
      <c r="B220" s="10">
        <v>2002.0</v>
      </c>
      <c r="C220" s="10" t="s">
        <v>277</v>
      </c>
      <c r="D220" s="10" t="s">
        <v>1074</v>
      </c>
      <c r="E220" s="10" t="s">
        <v>41</v>
      </c>
      <c r="F220" s="10" t="s">
        <v>59</v>
      </c>
      <c r="G220" s="10">
        <v>43.0</v>
      </c>
      <c r="H220" s="10">
        <v>49.0</v>
      </c>
      <c r="I220" s="10">
        <v>48.0</v>
      </c>
      <c r="J220" s="10">
        <v>52.0</v>
      </c>
      <c r="K220" s="10">
        <v>52.0</v>
      </c>
      <c r="L220" s="10">
        <v>51.0</v>
      </c>
      <c r="AB220" s="17"/>
      <c r="AC220" s="17"/>
      <c r="AD220" s="17"/>
      <c r="AE220" s="17"/>
      <c r="AF220" s="17"/>
      <c r="AG220" s="17"/>
      <c r="AH220" s="18"/>
      <c r="AI220" s="17"/>
    </row>
    <row r="221">
      <c r="A221" s="10" t="s">
        <v>1075</v>
      </c>
      <c r="B221" s="10">
        <v>2026.0</v>
      </c>
      <c r="C221" s="10" t="s">
        <v>365</v>
      </c>
      <c r="D221" s="10" t="s">
        <v>1076</v>
      </c>
      <c r="E221" s="10" t="s">
        <v>35</v>
      </c>
      <c r="F221" s="10" t="s">
        <v>45</v>
      </c>
      <c r="G221" s="10">
        <v>43.0</v>
      </c>
      <c r="H221" s="10">
        <v>38.0</v>
      </c>
      <c r="I221" s="10">
        <v>35.0</v>
      </c>
      <c r="J221" s="10">
        <v>37.0</v>
      </c>
      <c r="K221" s="10">
        <v>34.0</v>
      </c>
      <c r="L221" s="10">
        <v>38.0</v>
      </c>
      <c r="AB221" s="17"/>
      <c r="AC221" s="17"/>
      <c r="AD221" s="17"/>
      <c r="AE221" s="17"/>
      <c r="AF221" s="17"/>
      <c r="AG221" s="17"/>
      <c r="AH221" s="18"/>
      <c r="AI221" s="17"/>
    </row>
    <row r="222">
      <c r="A222" s="10" t="s">
        <v>1077</v>
      </c>
      <c r="B222" s="10">
        <v>2025.0</v>
      </c>
      <c r="C222" s="10" t="s">
        <v>374</v>
      </c>
      <c r="D222" s="10" t="s">
        <v>1078</v>
      </c>
      <c r="E222" s="10" t="s">
        <v>41</v>
      </c>
      <c r="F222" s="10" t="s">
        <v>59</v>
      </c>
      <c r="G222" s="10">
        <v>27.0</v>
      </c>
      <c r="H222" s="10">
        <v>39.0</v>
      </c>
      <c r="I222" s="10">
        <v>40.0</v>
      </c>
      <c r="J222" s="10">
        <v>56.0</v>
      </c>
      <c r="K222" s="10">
        <v>51.0</v>
      </c>
      <c r="L222" s="10">
        <v>51.0</v>
      </c>
      <c r="AB222" s="17"/>
      <c r="AC222" s="1" t="s">
        <v>728</v>
      </c>
      <c r="AD222" s="17">
        <v>46287.405422372685</v>
      </c>
      <c r="AE222" s="1" t="s">
        <v>1079</v>
      </c>
      <c r="AF222" s="15" t="s">
        <v>1080</v>
      </c>
      <c r="AG222" s="17"/>
      <c r="AH222" s="18">
        <v>1.0</v>
      </c>
      <c r="AI222" s="1" t="s">
        <v>1081</v>
      </c>
    </row>
    <row r="223">
      <c r="A223" s="10" t="s">
        <v>1082</v>
      </c>
      <c r="B223" s="10">
        <v>2025.0</v>
      </c>
      <c r="C223" s="10" t="s">
        <v>340</v>
      </c>
      <c r="D223" s="10" t="s">
        <v>1083</v>
      </c>
      <c r="E223" s="10" t="s">
        <v>43</v>
      </c>
      <c r="F223" s="10" t="s">
        <v>66</v>
      </c>
      <c r="G223" s="10">
        <v>47.0</v>
      </c>
      <c r="H223" s="10">
        <v>39.0</v>
      </c>
      <c r="I223" s="10">
        <v>30.0</v>
      </c>
      <c r="J223" s="10">
        <v>40.0</v>
      </c>
      <c r="K223" s="10">
        <v>46.0</v>
      </c>
      <c r="L223" s="10">
        <v>59.0</v>
      </c>
      <c r="AB223" s="17"/>
      <c r="AC223" s="1" t="s">
        <v>728</v>
      </c>
      <c r="AD223" s="17">
        <v>46287.40554922454</v>
      </c>
      <c r="AE223" s="1" t="s">
        <v>1084</v>
      </c>
      <c r="AF223" s="15" t="s">
        <v>1085</v>
      </c>
      <c r="AG223" s="17"/>
      <c r="AH223" s="18">
        <v>1.0</v>
      </c>
      <c r="AI223" s="1" t="s">
        <v>1086</v>
      </c>
    </row>
    <row r="224">
      <c r="A224" s="10" t="s">
        <v>1087</v>
      </c>
      <c r="B224" s="10">
        <v>2026.0</v>
      </c>
      <c r="C224" s="10" t="s">
        <v>356</v>
      </c>
      <c r="D224" s="10" t="s">
        <v>1088</v>
      </c>
      <c r="E224" s="10" t="s">
        <v>43</v>
      </c>
      <c r="F224" s="10" t="s">
        <v>66</v>
      </c>
      <c r="G224" s="10">
        <v>32.0</v>
      </c>
      <c r="H224" s="10">
        <v>36.0</v>
      </c>
      <c r="I224" s="10">
        <v>25.0</v>
      </c>
      <c r="J224" s="10">
        <v>46.0</v>
      </c>
      <c r="K224" s="10">
        <v>44.0</v>
      </c>
      <c r="L224" s="10">
        <v>47.0</v>
      </c>
      <c r="AB224" s="17"/>
      <c r="AC224" s="17"/>
      <c r="AD224" s="17"/>
      <c r="AE224" s="17"/>
      <c r="AF224" s="17"/>
      <c r="AG224" s="17"/>
      <c r="AH224" s="18"/>
      <c r="AI224" s="17"/>
    </row>
    <row r="225">
      <c r="A225" s="10" t="s">
        <v>1089</v>
      </c>
      <c r="B225" s="10">
        <v>2025.0</v>
      </c>
      <c r="C225" s="10" t="s">
        <v>219</v>
      </c>
      <c r="D225" s="10" t="s">
        <v>1090</v>
      </c>
      <c r="E225" s="10" t="s">
        <v>41</v>
      </c>
      <c r="F225" s="10" t="s">
        <v>59</v>
      </c>
      <c r="G225" s="10">
        <v>38.0</v>
      </c>
      <c r="H225" s="10">
        <v>38.0</v>
      </c>
      <c r="I225" s="10">
        <v>25.0</v>
      </c>
      <c r="J225" s="10">
        <v>43.0</v>
      </c>
      <c r="K225" s="10">
        <v>39.0</v>
      </c>
      <c r="L225" s="10">
        <v>36.0</v>
      </c>
      <c r="AB225" s="17"/>
      <c r="AC225" s="17"/>
      <c r="AD225" s="17"/>
      <c r="AE225" s="17"/>
      <c r="AF225" s="17"/>
      <c r="AG225" s="17"/>
      <c r="AH225" s="18"/>
      <c r="AI225" s="17"/>
    </row>
    <row r="226">
      <c r="A226" s="10" t="s">
        <v>1091</v>
      </c>
      <c r="B226" s="10">
        <v>2025.0</v>
      </c>
      <c r="C226" s="10" t="s">
        <v>173</v>
      </c>
      <c r="D226" s="10" t="s">
        <v>1092</v>
      </c>
      <c r="E226" s="10" t="s">
        <v>41</v>
      </c>
      <c r="F226" s="10" t="s">
        <v>59</v>
      </c>
      <c r="G226" s="10">
        <v>56.0</v>
      </c>
      <c r="H226" s="10">
        <v>54.0</v>
      </c>
      <c r="I226" s="10">
        <v>43.0</v>
      </c>
      <c r="J226" s="10">
        <v>60.0</v>
      </c>
      <c r="K226" s="10">
        <v>53.0</v>
      </c>
      <c r="L226" s="10">
        <v>52.0</v>
      </c>
      <c r="AB226" s="17"/>
      <c r="AC226" s="1" t="s">
        <v>728</v>
      </c>
      <c r="AD226" s="17">
        <v>46287.40568445602</v>
      </c>
      <c r="AE226" s="1" t="s">
        <v>1093</v>
      </c>
      <c r="AF226" s="15" t="s">
        <v>1094</v>
      </c>
      <c r="AG226" s="17"/>
      <c r="AH226" s="18">
        <v>1.0</v>
      </c>
      <c r="AI226" s="1" t="s">
        <v>1095</v>
      </c>
    </row>
    <row r="227">
      <c r="A227" s="10" t="s">
        <v>1096</v>
      </c>
      <c r="B227" s="10">
        <v>2025.0</v>
      </c>
      <c r="C227" s="10" t="s">
        <v>356</v>
      </c>
      <c r="D227" s="10" t="s">
        <v>1097</v>
      </c>
      <c r="E227" s="10" t="s">
        <v>41</v>
      </c>
      <c r="F227" s="10" t="s">
        <v>59</v>
      </c>
      <c r="G227" s="10">
        <v>37.0</v>
      </c>
      <c r="H227" s="10">
        <v>29.0</v>
      </c>
      <c r="I227" s="10">
        <v>42.0</v>
      </c>
      <c r="J227" s="10">
        <v>43.0</v>
      </c>
      <c r="K227" s="10">
        <v>39.0</v>
      </c>
      <c r="L227" s="10">
        <v>41.0</v>
      </c>
      <c r="AB227" s="17"/>
      <c r="AC227" s="1" t="s">
        <v>728</v>
      </c>
      <c r="AD227" s="17">
        <v>46287.405808344905</v>
      </c>
      <c r="AE227" s="1" t="s">
        <v>1098</v>
      </c>
      <c r="AF227" s="15" t="s">
        <v>1099</v>
      </c>
      <c r="AG227" s="17"/>
      <c r="AH227" s="18">
        <v>1.0</v>
      </c>
      <c r="AI227" s="1" t="s">
        <v>1100</v>
      </c>
    </row>
    <row r="228">
      <c r="A228" s="10" t="s">
        <v>1101</v>
      </c>
      <c r="B228" s="10">
        <v>2025.0</v>
      </c>
      <c r="C228" s="10" t="s">
        <v>356</v>
      </c>
      <c r="D228" s="10" t="s">
        <v>1102</v>
      </c>
      <c r="E228" s="10" t="s">
        <v>43</v>
      </c>
      <c r="F228" s="10" t="s">
        <v>66</v>
      </c>
      <c r="G228" s="10">
        <v>31.0</v>
      </c>
      <c r="H228" s="10">
        <v>34.0</v>
      </c>
      <c r="I228" s="10">
        <v>29.0</v>
      </c>
      <c r="J228" s="10">
        <v>46.0</v>
      </c>
      <c r="K228" s="10">
        <v>45.0</v>
      </c>
      <c r="L228" s="10">
        <v>49.0</v>
      </c>
      <c r="AB228" s="17"/>
      <c r="AC228" s="1" t="s">
        <v>728</v>
      </c>
      <c r="AD228" s="17">
        <v>46287.40643747685</v>
      </c>
      <c r="AE228" s="1" t="s">
        <v>1103</v>
      </c>
      <c r="AF228" s="15" t="s">
        <v>1104</v>
      </c>
      <c r="AG228" s="17"/>
      <c r="AH228" s="18">
        <v>1.0</v>
      </c>
      <c r="AI228" s="1" t="s">
        <v>1105</v>
      </c>
    </row>
    <row r="229">
      <c r="A229" s="10" t="s">
        <v>1106</v>
      </c>
      <c r="B229" s="10">
        <v>2025.0</v>
      </c>
      <c r="C229" s="10" t="s">
        <v>356</v>
      </c>
      <c r="D229" s="10" t="s">
        <v>1107</v>
      </c>
      <c r="E229" s="10" t="s">
        <v>43</v>
      </c>
      <c r="F229" s="10" t="s">
        <v>66</v>
      </c>
      <c r="G229" s="10">
        <v>45.0</v>
      </c>
      <c r="H229" s="10">
        <v>38.0</v>
      </c>
      <c r="I229" s="10">
        <v>27.0</v>
      </c>
      <c r="J229" s="10">
        <v>41.0</v>
      </c>
      <c r="K229" s="10">
        <v>41.0</v>
      </c>
      <c r="L229" s="10">
        <v>46.0</v>
      </c>
      <c r="AB229" s="17"/>
      <c r="AC229" s="1" t="s">
        <v>728</v>
      </c>
      <c r="AD229" s="17">
        <v>46287.4065897338</v>
      </c>
      <c r="AE229" s="1" t="s">
        <v>1108</v>
      </c>
      <c r="AF229" s="15" t="s">
        <v>1109</v>
      </c>
      <c r="AG229" s="17"/>
      <c r="AH229" s="18">
        <v>1.0</v>
      </c>
      <c r="AI229" s="1" t="s">
        <v>1110</v>
      </c>
    </row>
    <row r="230">
      <c r="A230" s="10" t="s">
        <v>1111</v>
      </c>
      <c r="B230" s="10">
        <v>2025.0</v>
      </c>
      <c r="C230" s="10" t="s">
        <v>365</v>
      </c>
      <c r="D230" s="10" t="s">
        <v>1112</v>
      </c>
      <c r="E230" s="10" t="s">
        <v>41</v>
      </c>
      <c r="F230" s="10" t="s">
        <v>59</v>
      </c>
      <c r="G230" s="10">
        <v>34.0</v>
      </c>
      <c r="H230" s="10">
        <v>37.0</v>
      </c>
      <c r="I230" s="10">
        <v>43.0</v>
      </c>
      <c r="J230" s="10">
        <v>49.0</v>
      </c>
      <c r="K230" s="10">
        <v>46.0</v>
      </c>
      <c r="L230" s="10">
        <v>46.0</v>
      </c>
      <c r="AB230" s="17"/>
      <c r="AC230" s="1" t="s">
        <v>728</v>
      </c>
      <c r="AD230" s="17">
        <v>46287.41080013889</v>
      </c>
      <c r="AE230" s="1" t="s">
        <v>1113</v>
      </c>
      <c r="AF230" s="15" t="s">
        <v>1114</v>
      </c>
      <c r="AG230" s="17"/>
      <c r="AH230" s="18">
        <v>1.0</v>
      </c>
      <c r="AI230" s="1" t="s">
        <v>1115</v>
      </c>
    </row>
    <row r="231">
      <c r="A231" s="10" t="s">
        <v>1116</v>
      </c>
      <c r="B231" s="10">
        <v>2025.0</v>
      </c>
      <c r="C231" s="10" t="s">
        <v>356</v>
      </c>
      <c r="D231" s="10" t="s">
        <v>1117</v>
      </c>
      <c r="E231" s="10" t="s">
        <v>37</v>
      </c>
      <c r="F231" s="10" t="s">
        <v>50</v>
      </c>
      <c r="G231" s="10">
        <v>43.0</v>
      </c>
      <c r="H231" s="10">
        <v>49.0</v>
      </c>
      <c r="I231" s="10">
        <v>44.0</v>
      </c>
      <c r="J231" s="10">
        <v>49.0</v>
      </c>
      <c r="K231" s="10">
        <v>48.0</v>
      </c>
      <c r="L231" s="10">
        <v>43.0</v>
      </c>
      <c r="AB231" s="17"/>
      <c r="AC231" s="17"/>
      <c r="AD231" s="17"/>
      <c r="AE231" s="17"/>
      <c r="AF231" s="17"/>
      <c r="AG231" s="17"/>
      <c r="AH231" s="18"/>
      <c r="AI231" s="17"/>
    </row>
    <row r="232">
      <c r="A232" s="10" t="s">
        <v>1118</v>
      </c>
      <c r="B232" s="10">
        <v>2025.0</v>
      </c>
      <c r="C232" s="10" t="s">
        <v>356</v>
      </c>
      <c r="D232" s="10" t="s">
        <v>1119</v>
      </c>
      <c r="E232" s="10" t="s">
        <v>41</v>
      </c>
      <c r="F232" s="10" t="s">
        <v>59</v>
      </c>
      <c r="G232" s="10">
        <v>42.0</v>
      </c>
      <c r="H232" s="10">
        <v>43.0</v>
      </c>
      <c r="I232" s="10">
        <v>40.0</v>
      </c>
      <c r="J232" s="10">
        <v>46.0</v>
      </c>
      <c r="K232" s="10">
        <v>43.0</v>
      </c>
      <c r="L232" s="10">
        <v>37.0</v>
      </c>
      <c r="AB232" s="17"/>
      <c r="AC232" s="1" t="s">
        <v>728</v>
      </c>
      <c r="AD232" s="17">
        <v>46287.40672559028</v>
      </c>
      <c r="AE232" s="1" t="s">
        <v>1120</v>
      </c>
      <c r="AF232" s="15" t="s">
        <v>1121</v>
      </c>
      <c r="AG232" s="17"/>
      <c r="AH232" s="18">
        <v>1.0</v>
      </c>
      <c r="AI232" s="1" t="s">
        <v>1122</v>
      </c>
    </row>
    <row r="233">
      <c r="A233" s="10" t="s">
        <v>1123</v>
      </c>
      <c r="B233" s="10">
        <v>2025.0</v>
      </c>
      <c r="C233" s="10" t="s">
        <v>173</v>
      </c>
      <c r="D233" s="10" t="s">
        <v>1124</v>
      </c>
      <c r="E233" s="10" t="s">
        <v>37</v>
      </c>
      <c r="F233" s="10" t="s">
        <v>50</v>
      </c>
      <c r="G233" s="10">
        <v>56.0</v>
      </c>
      <c r="H233" s="10">
        <v>60.0</v>
      </c>
      <c r="I233" s="10">
        <v>39.0</v>
      </c>
      <c r="J233" s="10">
        <v>60.0</v>
      </c>
      <c r="K233" s="10">
        <v>60.0</v>
      </c>
      <c r="L233" s="10">
        <v>54.0</v>
      </c>
      <c r="AB233" s="17"/>
      <c r="AC233" s="1" t="s">
        <v>234</v>
      </c>
      <c r="AD233" s="17">
        <v>46287.47845730324</v>
      </c>
      <c r="AE233" s="1" t="s">
        <v>1125</v>
      </c>
      <c r="AF233" s="15" t="s">
        <v>1126</v>
      </c>
      <c r="AG233" s="17"/>
      <c r="AH233" s="18"/>
      <c r="AI233" s="1" t="s">
        <v>1127</v>
      </c>
    </row>
    <row r="234">
      <c r="A234" s="10" t="s">
        <v>1128</v>
      </c>
      <c r="B234" s="10">
        <v>2026.0</v>
      </c>
      <c r="C234" s="10" t="s">
        <v>340</v>
      </c>
      <c r="D234" s="10" t="s">
        <v>1129</v>
      </c>
      <c r="E234" s="10" t="s">
        <v>42</v>
      </c>
      <c r="F234" s="10" t="s">
        <v>61</v>
      </c>
      <c r="G234" s="10">
        <v>49.0</v>
      </c>
      <c r="H234" s="10">
        <v>45.0</v>
      </c>
      <c r="I234" s="10">
        <v>38.0</v>
      </c>
      <c r="J234" s="10">
        <v>52.0</v>
      </c>
      <c r="K234" s="10">
        <v>53.0</v>
      </c>
      <c r="L234" s="10">
        <v>53.0</v>
      </c>
      <c r="AB234" s="17"/>
      <c r="AC234" s="1" t="s">
        <v>234</v>
      </c>
      <c r="AD234" s="17">
        <v>46287.47859059028</v>
      </c>
      <c r="AE234" s="1" t="s">
        <v>1130</v>
      </c>
      <c r="AF234" s="15" t="s">
        <v>1131</v>
      </c>
      <c r="AG234" s="17"/>
      <c r="AH234" s="18"/>
      <c r="AI234" s="1" t="s">
        <v>1132</v>
      </c>
    </row>
    <row r="235">
      <c r="A235" s="10" t="s">
        <v>1133</v>
      </c>
      <c r="B235" s="10">
        <v>2025.0</v>
      </c>
      <c r="C235" s="10" t="s">
        <v>591</v>
      </c>
      <c r="D235" s="10" t="s">
        <v>1134</v>
      </c>
      <c r="E235" s="10" t="s">
        <v>35</v>
      </c>
      <c r="F235" s="10" t="s">
        <v>45</v>
      </c>
      <c r="G235" s="10">
        <v>46.0</v>
      </c>
      <c r="H235" s="10">
        <v>39.0</v>
      </c>
      <c r="I235" s="10">
        <v>30.0</v>
      </c>
      <c r="J235" s="10">
        <v>44.0</v>
      </c>
      <c r="K235" s="10">
        <v>43.0</v>
      </c>
      <c r="L235" s="10">
        <v>42.0</v>
      </c>
      <c r="AB235" s="17"/>
      <c r="AC235" s="1" t="s">
        <v>234</v>
      </c>
      <c r="AD235" s="17">
        <v>46287.47875347223</v>
      </c>
      <c r="AE235" s="1" t="s">
        <v>1135</v>
      </c>
      <c r="AF235" s="15" t="s">
        <v>1136</v>
      </c>
      <c r="AG235" s="17"/>
      <c r="AH235" s="18"/>
      <c r="AI235" s="1" t="s">
        <v>1137</v>
      </c>
    </row>
    <row r="236">
      <c r="A236" s="10" t="s">
        <v>1138</v>
      </c>
      <c r="B236" s="10">
        <v>2025.0</v>
      </c>
      <c r="C236" s="10" t="s">
        <v>365</v>
      </c>
      <c r="D236" s="10" t="s">
        <v>1139</v>
      </c>
      <c r="E236" s="10" t="s">
        <v>41</v>
      </c>
      <c r="F236" s="10" t="s">
        <v>59</v>
      </c>
      <c r="G236" s="10">
        <v>28.0</v>
      </c>
      <c r="H236" s="10">
        <v>38.0</v>
      </c>
      <c r="I236" s="10">
        <v>38.0</v>
      </c>
      <c r="J236" s="10">
        <v>49.0</v>
      </c>
      <c r="K236" s="10">
        <v>46.0</v>
      </c>
      <c r="L236" s="10">
        <v>40.0</v>
      </c>
      <c r="AB236" s="17"/>
      <c r="AC236" s="1" t="s">
        <v>234</v>
      </c>
      <c r="AD236" s="17">
        <v>46287.47887590277</v>
      </c>
      <c r="AE236" s="1" t="s">
        <v>1140</v>
      </c>
      <c r="AF236" s="15" t="s">
        <v>1141</v>
      </c>
      <c r="AG236" s="17"/>
      <c r="AH236" s="18"/>
      <c r="AI236" s="1" t="s">
        <v>1142</v>
      </c>
    </row>
    <row r="237">
      <c r="A237" s="10" t="s">
        <v>1143</v>
      </c>
      <c r="B237" s="10">
        <v>2025.0</v>
      </c>
      <c r="C237" s="10" t="s">
        <v>356</v>
      </c>
      <c r="D237" s="10" t="s">
        <v>1144</v>
      </c>
      <c r="E237" s="10" t="s">
        <v>41</v>
      </c>
      <c r="F237" s="10" t="s">
        <v>59</v>
      </c>
      <c r="G237" s="10">
        <v>48.0</v>
      </c>
      <c r="H237" s="10">
        <v>46.0</v>
      </c>
      <c r="I237" s="10">
        <v>24.0</v>
      </c>
      <c r="J237" s="10">
        <v>60.0</v>
      </c>
      <c r="K237" s="10">
        <v>53.0</v>
      </c>
      <c r="L237" s="10">
        <v>56.0</v>
      </c>
      <c r="AB237" s="17"/>
      <c r="AC237" s="1" t="s">
        <v>234</v>
      </c>
      <c r="AD237" s="17">
        <v>46287.47900861111</v>
      </c>
      <c r="AE237" s="1" t="s">
        <v>1145</v>
      </c>
      <c r="AF237" s="15" t="s">
        <v>1146</v>
      </c>
      <c r="AG237" s="17"/>
      <c r="AH237" s="18"/>
      <c r="AI237" s="1" t="s">
        <v>1147</v>
      </c>
    </row>
    <row r="238">
      <c r="A238" s="10" t="s">
        <v>1148</v>
      </c>
      <c r="B238" s="10">
        <v>2025.0</v>
      </c>
      <c r="C238" s="10" t="s">
        <v>219</v>
      </c>
      <c r="D238" s="10" t="s">
        <v>1149</v>
      </c>
      <c r="E238" s="10" t="s">
        <v>41</v>
      </c>
      <c r="F238" s="10" t="s">
        <v>59</v>
      </c>
      <c r="G238" s="10">
        <v>43.0</v>
      </c>
      <c r="H238" s="10">
        <v>45.0</v>
      </c>
      <c r="I238" s="10">
        <v>38.0</v>
      </c>
      <c r="J238" s="10">
        <v>53.0</v>
      </c>
      <c r="K238" s="10">
        <v>48.0</v>
      </c>
      <c r="L238" s="10">
        <v>49.0</v>
      </c>
      <c r="AB238" s="17"/>
      <c r="AC238" s="1" t="s">
        <v>234</v>
      </c>
      <c r="AD238" s="17">
        <v>46287.47913953704</v>
      </c>
      <c r="AE238" s="1" t="s">
        <v>1150</v>
      </c>
      <c r="AF238" s="15" t="s">
        <v>1151</v>
      </c>
      <c r="AG238" s="17"/>
      <c r="AH238" s="18"/>
      <c r="AI238" s="1" t="s">
        <v>1152</v>
      </c>
    </row>
    <row r="239">
      <c r="A239" s="10" t="s">
        <v>1153</v>
      </c>
      <c r="B239" s="10">
        <v>2025.0</v>
      </c>
      <c r="C239" s="10" t="s">
        <v>1154</v>
      </c>
      <c r="D239" s="10" t="s">
        <v>1155</v>
      </c>
      <c r="E239" s="10" t="s">
        <v>41</v>
      </c>
      <c r="F239" s="10" t="s">
        <v>59</v>
      </c>
      <c r="G239" s="10">
        <v>17.0</v>
      </c>
      <c r="H239" s="10">
        <v>30.0</v>
      </c>
      <c r="I239" s="10">
        <v>48.0</v>
      </c>
      <c r="J239" s="10">
        <v>53.0</v>
      </c>
      <c r="K239" s="10">
        <v>43.0</v>
      </c>
      <c r="L239" s="10">
        <v>32.0</v>
      </c>
      <c r="AB239" s="17"/>
      <c r="AC239" s="1" t="s">
        <v>234</v>
      </c>
      <c r="AD239" s="17">
        <v>46287.47927091435</v>
      </c>
      <c r="AE239" s="1" t="s">
        <v>1156</v>
      </c>
      <c r="AF239" s="15" t="s">
        <v>1157</v>
      </c>
      <c r="AG239" s="17"/>
      <c r="AH239" s="18"/>
      <c r="AI239" s="1" t="s">
        <v>1158</v>
      </c>
    </row>
    <row r="240">
      <c r="A240" s="10" t="s">
        <v>1159</v>
      </c>
      <c r="B240" s="10">
        <v>2025.0</v>
      </c>
      <c r="C240" s="10" t="s">
        <v>173</v>
      </c>
      <c r="D240" s="10" t="s">
        <v>1160</v>
      </c>
      <c r="E240" s="10" t="s">
        <v>41</v>
      </c>
      <c r="F240" s="10" t="s">
        <v>59</v>
      </c>
      <c r="G240" s="10">
        <v>36.0</v>
      </c>
      <c r="H240" s="10">
        <v>33.0</v>
      </c>
      <c r="I240" s="10">
        <v>33.0</v>
      </c>
      <c r="J240" s="10">
        <v>48.0</v>
      </c>
      <c r="K240" s="10">
        <v>48.0</v>
      </c>
      <c r="L240" s="10">
        <v>41.0</v>
      </c>
      <c r="AB240" s="17"/>
      <c r="AC240" s="1" t="s">
        <v>234</v>
      </c>
      <c r="AD240" s="17">
        <v>46287.47939594908</v>
      </c>
      <c r="AE240" s="1" t="s">
        <v>1161</v>
      </c>
      <c r="AF240" s="15" t="s">
        <v>1162</v>
      </c>
      <c r="AG240" s="17"/>
      <c r="AH240" s="18"/>
      <c r="AI240" s="1" t="s">
        <v>1163</v>
      </c>
    </row>
    <row r="241">
      <c r="A241" s="10" t="s">
        <v>1164</v>
      </c>
      <c r="B241" s="10">
        <v>2026.0</v>
      </c>
      <c r="C241" s="10" t="s">
        <v>374</v>
      </c>
      <c r="D241" s="10" t="s">
        <v>1165</v>
      </c>
      <c r="E241" s="10" t="s">
        <v>41</v>
      </c>
      <c r="F241" s="10" t="s">
        <v>59</v>
      </c>
      <c r="G241" s="10">
        <v>27.0</v>
      </c>
      <c r="H241" s="10">
        <v>19.0</v>
      </c>
      <c r="I241" s="10">
        <v>27.0</v>
      </c>
      <c r="J241" s="10">
        <v>43.0</v>
      </c>
      <c r="K241" s="10">
        <v>29.0</v>
      </c>
      <c r="L241" s="10">
        <v>35.0</v>
      </c>
      <c r="AB241" s="17"/>
      <c r="AC241" s="1" t="s">
        <v>234</v>
      </c>
      <c r="AD241" s="17">
        <v>46287.479523518516</v>
      </c>
      <c r="AE241" s="1" t="s">
        <v>1166</v>
      </c>
      <c r="AF241" s="15" t="s">
        <v>1167</v>
      </c>
      <c r="AG241" s="17"/>
      <c r="AH241" s="18"/>
      <c r="AI241" s="1" t="s">
        <v>1168</v>
      </c>
    </row>
    <row r="242">
      <c r="A242" s="10" t="s">
        <v>1169</v>
      </c>
      <c r="B242" s="10">
        <v>2025.0</v>
      </c>
      <c r="C242" s="10" t="s">
        <v>356</v>
      </c>
      <c r="D242" s="10" t="s">
        <v>1170</v>
      </c>
      <c r="E242" s="10" t="s">
        <v>43</v>
      </c>
      <c r="F242" s="10" t="s">
        <v>66</v>
      </c>
      <c r="G242" s="10">
        <v>45.0</v>
      </c>
      <c r="H242" s="10">
        <v>50.0</v>
      </c>
      <c r="I242" s="10">
        <v>34.0</v>
      </c>
      <c r="J242" s="10">
        <v>55.0</v>
      </c>
      <c r="K242" s="10">
        <v>53.0</v>
      </c>
      <c r="L242" s="10">
        <v>56.0</v>
      </c>
      <c r="AB242" s="17"/>
      <c r="AC242" s="1" t="s">
        <v>234</v>
      </c>
      <c r="AD242" s="17">
        <v>46287.4796534375</v>
      </c>
      <c r="AE242" s="1" t="s">
        <v>1171</v>
      </c>
      <c r="AF242" s="15" t="s">
        <v>1172</v>
      </c>
      <c r="AG242" s="17"/>
      <c r="AH242" s="18"/>
      <c r="AI242" s="1" t="s">
        <v>1173</v>
      </c>
    </row>
    <row r="243">
      <c r="A243" s="10" t="s">
        <v>1174</v>
      </c>
      <c r="B243" s="10">
        <v>2026.0</v>
      </c>
      <c r="C243" s="10" t="s">
        <v>374</v>
      </c>
      <c r="D243" s="10" t="s">
        <v>1175</v>
      </c>
      <c r="E243" s="10" t="s">
        <v>41</v>
      </c>
      <c r="F243" s="10" t="s">
        <v>59</v>
      </c>
      <c r="G243" s="10">
        <v>48.0</v>
      </c>
      <c r="H243" s="10">
        <v>41.0</v>
      </c>
      <c r="I243" s="10">
        <v>46.0</v>
      </c>
      <c r="J243" s="10">
        <v>56.0</v>
      </c>
      <c r="K243" s="10">
        <v>45.0</v>
      </c>
      <c r="L243" s="10">
        <v>39.0</v>
      </c>
      <c r="AB243" s="17"/>
      <c r="AC243" s="1" t="s">
        <v>234</v>
      </c>
      <c r="AD243" s="17">
        <v>46287.47978652778</v>
      </c>
      <c r="AE243" s="1" t="s">
        <v>1176</v>
      </c>
      <c r="AF243" s="15" t="s">
        <v>1177</v>
      </c>
      <c r="AG243" s="17"/>
      <c r="AH243" s="18"/>
      <c r="AI243" s="1" t="s">
        <v>1178</v>
      </c>
    </row>
    <row r="244">
      <c r="A244" s="10" t="s">
        <v>1179</v>
      </c>
      <c r="B244" s="10">
        <v>2025.0</v>
      </c>
      <c r="C244" s="10" t="s">
        <v>213</v>
      </c>
      <c r="D244" s="10" t="s">
        <v>1180</v>
      </c>
      <c r="E244" s="10" t="s">
        <v>41</v>
      </c>
      <c r="F244" s="10" t="s">
        <v>59</v>
      </c>
      <c r="G244" s="10">
        <v>48.0</v>
      </c>
      <c r="H244" s="10">
        <v>48.0</v>
      </c>
      <c r="I244" s="10">
        <v>49.0</v>
      </c>
      <c r="J244" s="10">
        <v>51.0</v>
      </c>
      <c r="K244" s="10">
        <v>48.0</v>
      </c>
      <c r="L244" s="10">
        <v>48.0</v>
      </c>
      <c r="AB244" s="17"/>
      <c r="AC244" s="1" t="s">
        <v>234</v>
      </c>
      <c r="AD244" s="17">
        <v>46287.47992452546</v>
      </c>
      <c r="AE244" s="1" t="s">
        <v>1181</v>
      </c>
      <c r="AF244" s="15" t="s">
        <v>1182</v>
      </c>
      <c r="AG244" s="17"/>
      <c r="AH244" s="18"/>
      <c r="AI244" s="1" t="s">
        <v>1183</v>
      </c>
    </row>
    <row r="245">
      <c r="A245" s="10" t="s">
        <v>1184</v>
      </c>
      <c r="B245" s="10">
        <v>2026.0</v>
      </c>
      <c r="C245" s="10" t="s">
        <v>374</v>
      </c>
      <c r="D245" s="10" t="s">
        <v>1185</v>
      </c>
      <c r="E245" s="10" t="s">
        <v>37</v>
      </c>
      <c r="F245" s="10" t="s">
        <v>50</v>
      </c>
      <c r="G245" s="10">
        <v>59.0</v>
      </c>
      <c r="H245" s="10">
        <v>60.0</v>
      </c>
      <c r="I245" s="10">
        <v>56.0</v>
      </c>
      <c r="J245" s="10">
        <v>60.0</v>
      </c>
      <c r="K245" s="10">
        <v>60.0</v>
      </c>
      <c r="L245" s="10">
        <v>58.0</v>
      </c>
      <c r="AB245" s="17"/>
      <c r="AC245" s="1" t="s">
        <v>234</v>
      </c>
      <c r="AD245" s="17">
        <v>46287.48005721065</v>
      </c>
      <c r="AE245" s="1" t="s">
        <v>1186</v>
      </c>
      <c r="AF245" s="15" t="s">
        <v>1187</v>
      </c>
      <c r="AG245" s="17"/>
      <c r="AH245" s="18"/>
      <c r="AI245" s="1" t="s">
        <v>1188</v>
      </c>
    </row>
    <row r="246">
      <c r="A246" s="10" t="s">
        <v>1189</v>
      </c>
      <c r="B246" s="10">
        <v>2025.0</v>
      </c>
      <c r="C246" s="10" t="s">
        <v>296</v>
      </c>
      <c r="D246" s="10" t="s">
        <v>905</v>
      </c>
      <c r="E246" s="10" t="s">
        <v>41</v>
      </c>
      <c r="F246" s="10" t="s">
        <v>59</v>
      </c>
      <c r="G246" s="10">
        <v>35.0</v>
      </c>
      <c r="H246" s="10">
        <v>36.0</v>
      </c>
      <c r="I246" s="10">
        <v>53.0</v>
      </c>
      <c r="J246" s="10">
        <v>60.0</v>
      </c>
      <c r="K246" s="10">
        <v>60.0</v>
      </c>
      <c r="L246" s="10">
        <v>49.0</v>
      </c>
      <c r="AB246" s="17"/>
      <c r="AC246" s="1" t="s">
        <v>234</v>
      </c>
      <c r="AD246" s="17">
        <v>46287.480186863424</v>
      </c>
      <c r="AE246" s="1" t="s">
        <v>1190</v>
      </c>
      <c r="AF246" s="15" t="s">
        <v>1191</v>
      </c>
      <c r="AG246" s="17"/>
      <c r="AH246" s="18"/>
      <c r="AI246" s="1" t="s">
        <v>1192</v>
      </c>
    </row>
    <row r="247">
      <c r="A247" s="10" t="s">
        <v>1193</v>
      </c>
      <c r="B247" s="10">
        <v>2025.0</v>
      </c>
      <c r="C247" s="10" t="s">
        <v>296</v>
      </c>
      <c r="D247" s="10" t="s">
        <v>1194</v>
      </c>
      <c r="E247" s="10" t="s">
        <v>41</v>
      </c>
      <c r="F247" s="10" t="s">
        <v>59</v>
      </c>
      <c r="G247" s="10">
        <v>47.0</v>
      </c>
      <c r="H247" s="10">
        <v>43.0</v>
      </c>
      <c r="I247" s="10">
        <v>39.0</v>
      </c>
      <c r="J247" s="10">
        <v>48.0</v>
      </c>
      <c r="K247" s="10">
        <v>47.0</v>
      </c>
      <c r="L247" s="10">
        <v>44.0</v>
      </c>
      <c r="AB247" s="17"/>
      <c r="AC247" s="1" t="s">
        <v>728</v>
      </c>
      <c r="AD247" s="17">
        <v>46287.41093524305</v>
      </c>
      <c r="AE247" s="1" t="s">
        <v>1195</v>
      </c>
      <c r="AF247" s="15" t="s">
        <v>1196</v>
      </c>
      <c r="AG247" s="17"/>
      <c r="AH247" s="18">
        <v>1.0</v>
      </c>
      <c r="AI247" s="1" t="s">
        <v>1197</v>
      </c>
    </row>
    <row r="248">
      <c r="A248" s="10" t="s">
        <v>1133</v>
      </c>
      <c r="B248" s="10">
        <v>2025.0</v>
      </c>
      <c r="C248" s="10" t="s">
        <v>591</v>
      </c>
      <c r="D248" s="10" t="s">
        <v>1134</v>
      </c>
      <c r="E248" s="10" t="s">
        <v>35</v>
      </c>
      <c r="F248" s="10" t="s">
        <v>45</v>
      </c>
      <c r="G248" s="10">
        <v>43.0</v>
      </c>
      <c r="H248" s="10">
        <v>40.0</v>
      </c>
      <c r="I248" s="10">
        <v>30.0</v>
      </c>
      <c r="J248" s="10">
        <v>42.0</v>
      </c>
      <c r="K248" s="10">
        <v>40.0</v>
      </c>
      <c r="L248" s="10">
        <v>43.0</v>
      </c>
      <c r="AB248" s="17"/>
      <c r="AC248" s="1" t="s">
        <v>728</v>
      </c>
      <c r="AD248" s="17">
        <v>46287.41583344908</v>
      </c>
      <c r="AE248" s="1" t="s">
        <v>1198</v>
      </c>
      <c r="AF248" s="15" t="s">
        <v>1199</v>
      </c>
      <c r="AG248" s="17"/>
      <c r="AH248" s="18">
        <v>1.0</v>
      </c>
      <c r="AI248" s="1" t="s">
        <v>1200</v>
      </c>
    </row>
    <row r="249">
      <c r="E249" s="10" t="s">
        <v>1201</v>
      </c>
      <c r="F249" s="10"/>
      <c r="AB249" s="17"/>
      <c r="AC249" s="17"/>
      <c r="AD249" s="17"/>
      <c r="AE249" s="17"/>
      <c r="AF249" s="17"/>
      <c r="AG249" s="17"/>
      <c r="AH249" s="18"/>
      <c r="AI249" s="17"/>
    </row>
    <row r="250">
      <c r="E250" s="10" t="s">
        <v>1201</v>
      </c>
      <c r="F250" s="10"/>
      <c r="AB250" s="17"/>
      <c r="AC250" s="17"/>
      <c r="AD250" s="17"/>
      <c r="AE250" s="17"/>
      <c r="AF250" s="17"/>
      <c r="AG250" s="17"/>
      <c r="AH250" s="18"/>
      <c r="AI250" s="17"/>
    </row>
    <row r="251">
      <c r="E251" s="10" t="s">
        <v>1201</v>
      </c>
      <c r="F251" s="10"/>
      <c r="AB251" s="17"/>
      <c r="AC251" s="17"/>
      <c r="AD251" s="17"/>
      <c r="AE251" s="17"/>
      <c r="AF251" s="17"/>
      <c r="AG251" s="17"/>
      <c r="AH251" s="18"/>
      <c r="AI251" s="17"/>
    </row>
    <row r="252">
      <c r="E252" s="10" t="s">
        <v>1201</v>
      </c>
      <c r="F252" s="10"/>
      <c r="AB252" s="17"/>
      <c r="AC252" s="17"/>
      <c r="AD252" s="17"/>
      <c r="AE252" s="17"/>
      <c r="AF252" s="17"/>
      <c r="AG252" s="17"/>
      <c r="AH252" s="18"/>
      <c r="AI252" s="17"/>
    </row>
    <row r="253">
      <c r="E253" s="10" t="s">
        <v>1201</v>
      </c>
      <c r="F253" s="10"/>
      <c r="AB253" s="17"/>
      <c r="AC253" s="17"/>
      <c r="AD253" s="17"/>
      <c r="AE253" s="17"/>
      <c r="AF253" s="17"/>
      <c r="AG253" s="17"/>
      <c r="AH253" s="18"/>
      <c r="AI253" s="17"/>
    </row>
    <row r="254">
      <c r="E254" s="10" t="s">
        <v>1201</v>
      </c>
      <c r="F254" s="10"/>
      <c r="AB254" s="17"/>
      <c r="AC254" s="17"/>
      <c r="AD254" s="17"/>
      <c r="AE254" s="17"/>
      <c r="AF254" s="17"/>
      <c r="AG254" s="17"/>
      <c r="AH254" s="18"/>
      <c r="AI254" s="17"/>
    </row>
    <row r="255">
      <c r="E255" s="10" t="s">
        <v>1201</v>
      </c>
      <c r="F255" s="10"/>
      <c r="AB255" s="17"/>
      <c r="AC255" s="17"/>
      <c r="AD255" s="17"/>
      <c r="AE255" s="17"/>
      <c r="AF255" s="17"/>
      <c r="AG255" s="17"/>
      <c r="AH255" s="18"/>
      <c r="AI255" s="17"/>
    </row>
    <row r="256">
      <c r="E256" s="10" t="s">
        <v>1201</v>
      </c>
      <c r="F256" s="10"/>
      <c r="AB256" s="17"/>
      <c r="AC256" s="17"/>
      <c r="AD256" s="17"/>
      <c r="AE256" s="17"/>
      <c r="AF256" s="17"/>
      <c r="AG256" s="17"/>
      <c r="AH256" s="18"/>
      <c r="AI256" s="17"/>
    </row>
    <row r="257">
      <c r="E257" s="10" t="s">
        <v>1201</v>
      </c>
      <c r="F257" s="10"/>
      <c r="AB257" s="17"/>
      <c r="AC257" s="17"/>
      <c r="AD257" s="17"/>
      <c r="AE257" s="17"/>
      <c r="AF257" s="17"/>
      <c r="AG257" s="17"/>
      <c r="AH257" s="18"/>
      <c r="AI257" s="17"/>
    </row>
    <row r="258">
      <c r="E258" s="10" t="s">
        <v>1201</v>
      </c>
      <c r="F258" s="10"/>
      <c r="AB258" s="17"/>
      <c r="AC258" s="17"/>
      <c r="AD258" s="17"/>
      <c r="AE258" s="17"/>
      <c r="AF258" s="17"/>
      <c r="AG258" s="17"/>
      <c r="AH258" s="18"/>
      <c r="AI258" s="17"/>
    </row>
    <row r="259">
      <c r="E259" s="10" t="s">
        <v>1201</v>
      </c>
      <c r="F259" s="10"/>
      <c r="AB259" s="17"/>
      <c r="AC259" s="17"/>
      <c r="AD259" s="17"/>
      <c r="AE259" s="17"/>
      <c r="AF259" s="17"/>
      <c r="AG259" s="17"/>
      <c r="AH259" s="18"/>
      <c r="AI259" s="17"/>
    </row>
    <row r="260">
      <c r="E260" s="10" t="s">
        <v>1201</v>
      </c>
      <c r="F260" s="10"/>
      <c r="AB260" s="17"/>
      <c r="AC260" s="17"/>
      <c r="AD260" s="17"/>
      <c r="AE260" s="17"/>
      <c r="AF260" s="17"/>
      <c r="AG260" s="17"/>
      <c r="AH260" s="18"/>
      <c r="AI260" s="17"/>
    </row>
    <row r="261">
      <c r="E261" s="10" t="s">
        <v>1201</v>
      </c>
      <c r="F261" s="10"/>
      <c r="AB261" s="17"/>
      <c r="AC261" s="17"/>
      <c r="AD261" s="17"/>
      <c r="AE261" s="17"/>
      <c r="AF261" s="17"/>
      <c r="AG261" s="17"/>
      <c r="AH261" s="18"/>
      <c r="AI261" s="17"/>
    </row>
    <row r="262">
      <c r="E262" s="10" t="s">
        <v>1201</v>
      </c>
      <c r="F262" s="10"/>
      <c r="AB262" s="17"/>
      <c r="AC262" s="17"/>
      <c r="AD262" s="17"/>
      <c r="AE262" s="17"/>
      <c r="AF262" s="17"/>
      <c r="AG262" s="17"/>
      <c r="AH262" s="18"/>
      <c r="AI262" s="17"/>
    </row>
    <row r="263">
      <c r="E263" s="10" t="s">
        <v>1201</v>
      </c>
      <c r="F263" s="10"/>
      <c r="AB263" s="17"/>
      <c r="AC263" s="17"/>
      <c r="AD263" s="17"/>
      <c r="AE263" s="17"/>
      <c r="AF263" s="17"/>
      <c r="AG263" s="17"/>
      <c r="AH263" s="18"/>
      <c r="AI263" s="17"/>
    </row>
    <row r="264">
      <c r="E264" s="10" t="s">
        <v>1201</v>
      </c>
      <c r="F264" s="10"/>
      <c r="AB264" s="17"/>
      <c r="AC264" s="17"/>
      <c r="AD264" s="17"/>
      <c r="AE264" s="17"/>
      <c r="AF264" s="17"/>
      <c r="AG264" s="17"/>
      <c r="AH264" s="18"/>
      <c r="AI264" s="17"/>
    </row>
    <row r="265">
      <c r="E265" s="10" t="s">
        <v>1201</v>
      </c>
      <c r="F265" s="10"/>
      <c r="AB265" s="17"/>
      <c r="AC265" s="17"/>
      <c r="AD265" s="17"/>
      <c r="AE265" s="17"/>
      <c r="AF265" s="17"/>
      <c r="AG265" s="17"/>
      <c r="AH265" s="18"/>
      <c r="AI265" s="17"/>
    </row>
    <row r="266">
      <c r="E266" s="10" t="s">
        <v>1201</v>
      </c>
      <c r="F266" s="10"/>
      <c r="AB266" s="17"/>
      <c r="AC266" s="17"/>
      <c r="AD266" s="17"/>
      <c r="AE266" s="17"/>
      <c r="AF266" s="17"/>
      <c r="AG266" s="17"/>
      <c r="AH266" s="18"/>
      <c r="AI266" s="17"/>
    </row>
    <row r="267">
      <c r="E267" s="10" t="s">
        <v>1201</v>
      </c>
      <c r="F267" s="10"/>
      <c r="AB267" s="17"/>
      <c r="AC267" s="17"/>
      <c r="AD267" s="17"/>
      <c r="AE267" s="17"/>
      <c r="AF267" s="17"/>
      <c r="AG267" s="17"/>
      <c r="AH267" s="18"/>
      <c r="AI267" s="17"/>
    </row>
    <row r="268">
      <c r="E268" s="10" t="s">
        <v>1201</v>
      </c>
      <c r="F268" s="10"/>
      <c r="AB268" s="17"/>
      <c r="AC268" s="17"/>
      <c r="AD268" s="17"/>
      <c r="AE268" s="17"/>
      <c r="AF268" s="17"/>
      <c r="AG268" s="17"/>
      <c r="AH268" s="18"/>
      <c r="AI268" s="17"/>
    </row>
    <row r="269">
      <c r="E269" s="10" t="s">
        <v>1201</v>
      </c>
      <c r="F269" s="10"/>
      <c r="AB269" s="17"/>
      <c r="AC269" s="17"/>
      <c r="AD269" s="17"/>
      <c r="AE269" s="17"/>
      <c r="AF269" s="17"/>
      <c r="AG269" s="17"/>
      <c r="AH269" s="18"/>
      <c r="AI269" s="17"/>
    </row>
    <row r="270">
      <c r="E270" s="10" t="s">
        <v>1201</v>
      </c>
      <c r="F270" s="10"/>
      <c r="AB270" s="17"/>
      <c r="AC270" s="17"/>
      <c r="AD270" s="17"/>
      <c r="AE270" s="17"/>
      <c r="AF270" s="17"/>
      <c r="AG270" s="17"/>
      <c r="AH270" s="18"/>
      <c r="AI270" s="17"/>
    </row>
    <row r="271">
      <c r="E271" s="10" t="s">
        <v>1201</v>
      </c>
      <c r="F271" s="10"/>
      <c r="AB271" s="17"/>
      <c r="AC271" s="17"/>
      <c r="AD271" s="17"/>
      <c r="AE271" s="17"/>
      <c r="AF271" s="17"/>
      <c r="AG271" s="17"/>
      <c r="AH271" s="18"/>
      <c r="AI271" s="17"/>
    </row>
    <row r="272">
      <c r="E272" s="10" t="s">
        <v>1201</v>
      </c>
      <c r="F272" s="10"/>
      <c r="AB272" s="17"/>
      <c r="AC272" s="17"/>
      <c r="AD272" s="17"/>
      <c r="AE272" s="17"/>
      <c r="AF272" s="17"/>
      <c r="AG272" s="17"/>
      <c r="AH272" s="18"/>
      <c r="AI272" s="17"/>
    </row>
    <row r="273">
      <c r="E273" s="10" t="s">
        <v>1201</v>
      </c>
      <c r="F273" s="10"/>
      <c r="AB273" s="17"/>
      <c r="AC273" s="17"/>
      <c r="AD273" s="17"/>
      <c r="AE273" s="17"/>
      <c r="AF273" s="17"/>
      <c r="AG273" s="17"/>
      <c r="AH273" s="18"/>
      <c r="AI273" s="17"/>
    </row>
    <row r="274">
      <c r="E274" s="10" t="s">
        <v>1201</v>
      </c>
      <c r="F274" s="10"/>
      <c r="AB274" s="17"/>
      <c r="AC274" s="17"/>
      <c r="AD274" s="17"/>
      <c r="AE274" s="17"/>
      <c r="AF274" s="17"/>
      <c r="AG274" s="17"/>
      <c r="AH274" s="18"/>
      <c r="AI274" s="17"/>
    </row>
    <row r="275">
      <c r="E275" s="10" t="s">
        <v>1201</v>
      </c>
      <c r="F275" s="10"/>
      <c r="AB275" s="17"/>
      <c r="AC275" s="17"/>
      <c r="AD275" s="17"/>
      <c r="AE275" s="17"/>
      <c r="AF275" s="17"/>
      <c r="AG275" s="17"/>
      <c r="AH275" s="18"/>
      <c r="AI275" s="17"/>
    </row>
    <row r="276">
      <c r="E276" s="10" t="s">
        <v>1201</v>
      </c>
      <c r="F276" s="10"/>
      <c r="AB276" s="17"/>
      <c r="AC276" s="17"/>
      <c r="AD276" s="17"/>
      <c r="AE276" s="17"/>
      <c r="AF276" s="17"/>
      <c r="AG276" s="17"/>
      <c r="AH276" s="18"/>
      <c r="AI276" s="17"/>
    </row>
    <row r="277">
      <c r="E277" s="10" t="s">
        <v>1201</v>
      </c>
      <c r="F277" s="10"/>
      <c r="AB277" s="17"/>
      <c r="AC277" s="17"/>
      <c r="AD277" s="17"/>
      <c r="AE277" s="17"/>
      <c r="AF277" s="17"/>
      <c r="AG277" s="17"/>
      <c r="AH277" s="18"/>
      <c r="AI277" s="17"/>
    </row>
    <row r="278">
      <c r="E278" s="10" t="s">
        <v>1201</v>
      </c>
      <c r="F278" s="10"/>
      <c r="AB278" s="17"/>
      <c r="AC278" s="17"/>
      <c r="AD278" s="17"/>
      <c r="AE278" s="17"/>
      <c r="AF278" s="17"/>
      <c r="AG278" s="17"/>
      <c r="AH278" s="18"/>
      <c r="AI278" s="17"/>
    </row>
    <row r="279">
      <c r="E279" s="10" t="s">
        <v>1201</v>
      </c>
      <c r="F279" s="10"/>
      <c r="AB279" s="17"/>
      <c r="AC279" s="17"/>
      <c r="AD279" s="17"/>
      <c r="AE279" s="17"/>
      <c r="AF279" s="17"/>
      <c r="AG279" s="17"/>
      <c r="AH279" s="18"/>
      <c r="AI279" s="17"/>
    </row>
    <row r="280">
      <c r="E280" s="10" t="s">
        <v>1201</v>
      </c>
      <c r="F280" s="10"/>
      <c r="AB280" s="17"/>
      <c r="AC280" s="17"/>
      <c r="AD280" s="17"/>
      <c r="AE280" s="17"/>
      <c r="AF280" s="17"/>
      <c r="AG280" s="17"/>
      <c r="AH280" s="18"/>
      <c r="AI280" s="17"/>
    </row>
    <row r="281">
      <c r="E281" s="10" t="s">
        <v>1201</v>
      </c>
      <c r="F281" s="10"/>
      <c r="AB281" s="17"/>
      <c r="AC281" s="17"/>
      <c r="AD281" s="17"/>
      <c r="AE281" s="17"/>
      <c r="AF281" s="17"/>
      <c r="AG281" s="17"/>
      <c r="AH281" s="18"/>
      <c r="AI281" s="17"/>
    </row>
    <row r="282">
      <c r="E282" s="10" t="s">
        <v>1201</v>
      </c>
      <c r="F282" s="10"/>
      <c r="AB282" s="17"/>
      <c r="AC282" s="17"/>
      <c r="AD282" s="17"/>
      <c r="AE282" s="17"/>
      <c r="AF282" s="17"/>
      <c r="AG282" s="17"/>
      <c r="AH282" s="18"/>
      <c r="AI282" s="17"/>
    </row>
    <row r="283">
      <c r="E283" s="10" t="s">
        <v>1201</v>
      </c>
      <c r="F283" s="10"/>
      <c r="AB283" s="17"/>
      <c r="AC283" s="17"/>
      <c r="AD283" s="17"/>
      <c r="AE283" s="17"/>
      <c r="AF283" s="17"/>
      <c r="AG283" s="17"/>
      <c r="AH283" s="18"/>
      <c r="AI283" s="17"/>
    </row>
    <row r="284">
      <c r="E284" s="10" t="s">
        <v>1201</v>
      </c>
      <c r="F284" s="10"/>
      <c r="AB284" s="17"/>
      <c r="AC284" s="17"/>
      <c r="AD284" s="17"/>
      <c r="AE284" s="17"/>
      <c r="AF284" s="17"/>
      <c r="AG284" s="17"/>
      <c r="AH284" s="18"/>
      <c r="AI284" s="17"/>
    </row>
    <row r="285">
      <c r="E285" s="10" t="s">
        <v>1201</v>
      </c>
      <c r="F285" s="10"/>
      <c r="AB285" s="17"/>
      <c r="AC285" s="17"/>
      <c r="AD285" s="17"/>
      <c r="AE285" s="17"/>
      <c r="AF285" s="17"/>
      <c r="AG285" s="17"/>
      <c r="AH285" s="18"/>
      <c r="AI285" s="17"/>
    </row>
    <row r="286">
      <c r="E286" s="10" t="s">
        <v>1201</v>
      </c>
      <c r="F286" s="10"/>
      <c r="AB286" s="17"/>
      <c r="AC286" s="17"/>
      <c r="AD286" s="17"/>
      <c r="AE286" s="17"/>
      <c r="AF286" s="17"/>
      <c r="AG286" s="17"/>
      <c r="AH286" s="18"/>
      <c r="AI286" s="17"/>
    </row>
    <row r="287">
      <c r="E287" s="10" t="s">
        <v>1201</v>
      </c>
      <c r="F287" s="10"/>
      <c r="AB287" s="17"/>
      <c r="AC287" s="17"/>
      <c r="AD287" s="17"/>
      <c r="AE287" s="17"/>
      <c r="AF287" s="17"/>
      <c r="AG287" s="17"/>
      <c r="AH287" s="18"/>
      <c r="AI287" s="17"/>
    </row>
    <row r="288">
      <c r="E288" s="10" t="s">
        <v>1201</v>
      </c>
      <c r="F288" s="10"/>
      <c r="AB288" s="17"/>
      <c r="AC288" s="17"/>
      <c r="AD288" s="17"/>
      <c r="AE288" s="17"/>
      <c r="AF288" s="17"/>
      <c r="AG288" s="17"/>
      <c r="AH288" s="18"/>
      <c r="AI288" s="17"/>
    </row>
    <row r="289">
      <c r="E289" s="10" t="s">
        <v>1201</v>
      </c>
      <c r="F289" s="10"/>
      <c r="AB289" s="17"/>
      <c r="AC289" s="17"/>
      <c r="AD289" s="17"/>
      <c r="AE289" s="17"/>
      <c r="AF289" s="17"/>
      <c r="AG289" s="17"/>
      <c r="AH289" s="18"/>
      <c r="AI289" s="17"/>
    </row>
    <row r="290">
      <c r="E290" s="10" t="s">
        <v>1201</v>
      </c>
      <c r="F290" s="10"/>
      <c r="AB290" s="17"/>
      <c r="AC290" s="17"/>
      <c r="AD290" s="17"/>
      <c r="AE290" s="17"/>
      <c r="AF290" s="17"/>
      <c r="AG290" s="17"/>
      <c r="AH290" s="18"/>
      <c r="AI290" s="17"/>
    </row>
    <row r="291">
      <c r="E291" s="10" t="s">
        <v>1201</v>
      </c>
      <c r="F291" s="10"/>
      <c r="AB291" s="17"/>
      <c r="AC291" s="17"/>
      <c r="AD291" s="17"/>
      <c r="AE291" s="17"/>
      <c r="AF291" s="17"/>
      <c r="AG291" s="17"/>
      <c r="AH291" s="18"/>
      <c r="AI291" s="17"/>
    </row>
    <row r="292">
      <c r="E292" s="10" t="s">
        <v>1201</v>
      </c>
      <c r="F292" s="10"/>
      <c r="AB292" s="17"/>
      <c r="AC292" s="17"/>
      <c r="AD292" s="17"/>
      <c r="AE292" s="17"/>
      <c r="AF292" s="17"/>
      <c r="AG292" s="17"/>
      <c r="AH292" s="18"/>
      <c r="AI292" s="17"/>
    </row>
    <row r="293">
      <c r="E293" s="10" t="s">
        <v>1201</v>
      </c>
      <c r="F293" s="10"/>
      <c r="AB293" s="17"/>
      <c r="AC293" s="17"/>
      <c r="AD293" s="17"/>
      <c r="AE293" s="17"/>
      <c r="AF293" s="17"/>
      <c r="AG293" s="17"/>
      <c r="AH293" s="18"/>
      <c r="AI293" s="17"/>
    </row>
    <row r="294">
      <c r="E294" s="10" t="s">
        <v>1201</v>
      </c>
      <c r="F294" s="10"/>
      <c r="AB294" s="17"/>
      <c r="AC294" s="17"/>
      <c r="AD294" s="17"/>
      <c r="AE294" s="17"/>
      <c r="AF294" s="17"/>
      <c r="AG294" s="17"/>
      <c r="AH294" s="18"/>
      <c r="AI294" s="17"/>
    </row>
    <row r="295">
      <c r="E295" s="10" t="s">
        <v>1201</v>
      </c>
      <c r="F295" s="10"/>
      <c r="AB295" s="17"/>
      <c r="AC295" s="17"/>
      <c r="AD295" s="17"/>
      <c r="AE295" s="17"/>
      <c r="AF295" s="17"/>
      <c r="AG295" s="17"/>
      <c r="AH295" s="18"/>
      <c r="AI295" s="17"/>
    </row>
    <row r="296">
      <c r="E296" s="10" t="s">
        <v>1201</v>
      </c>
      <c r="F296" s="10"/>
      <c r="AB296" s="17"/>
      <c r="AC296" s="17"/>
      <c r="AD296" s="17"/>
      <c r="AE296" s="17"/>
      <c r="AF296" s="17"/>
      <c r="AG296" s="17"/>
      <c r="AH296" s="18"/>
      <c r="AI296" s="17"/>
    </row>
    <row r="297">
      <c r="E297" s="10" t="s">
        <v>1201</v>
      </c>
      <c r="F297" s="10"/>
      <c r="AB297" s="17"/>
      <c r="AC297" s="17"/>
      <c r="AD297" s="17"/>
      <c r="AE297" s="17"/>
      <c r="AF297" s="17"/>
      <c r="AG297" s="17"/>
      <c r="AH297" s="18"/>
      <c r="AI297" s="17"/>
    </row>
    <row r="298">
      <c r="E298" s="10" t="s">
        <v>1201</v>
      </c>
      <c r="F298" s="10"/>
      <c r="AB298" s="17"/>
      <c r="AC298" s="17"/>
      <c r="AD298" s="17"/>
      <c r="AE298" s="17"/>
      <c r="AF298" s="17"/>
      <c r="AG298" s="17"/>
      <c r="AH298" s="18"/>
      <c r="AI298" s="17"/>
    </row>
    <row r="299">
      <c r="E299" s="10" t="s">
        <v>1201</v>
      </c>
      <c r="F299" s="10"/>
      <c r="AB299" s="17"/>
      <c r="AC299" s="17"/>
      <c r="AD299" s="17"/>
      <c r="AE299" s="17"/>
      <c r="AF299" s="17"/>
      <c r="AG299" s="17"/>
      <c r="AH299" s="18"/>
      <c r="AI299" s="17"/>
    </row>
    <row r="300">
      <c r="E300" s="10" t="s">
        <v>1201</v>
      </c>
      <c r="F300" s="10"/>
      <c r="AB300" s="17"/>
      <c r="AC300" s="17"/>
      <c r="AD300" s="17"/>
      <c r="AE300" s="17"/>
      <c r="AF300" s="17"/>
      <c r="AG300" s="17"/>
      <c r="AH300" s="18"/>
      <c r="AI300" s="17"/>
    </row>
    <row r="301">
      <c r="E301" s="10" t="s">
        <v>1201</v>
      </c>
      <c r="F301" s="10"/>
      <c r="AB301" s="17"/>
      <c r="AC301" s="17"/>
      <c r="AD301" s="17"/>
      <c r="AE301" s="17"/>
      <c r="AF301" s="17"/>
      <c r="AG301" s="17"/>
      <c r="AH301" s="18"/>
      <c r="AI301" s="17"/>
    </row>
    <row r="302">
      <c r="E302" s="10" t="s">
        <v>1201</v>
      </c>
      <c r="F302" s="10"/>
      <c r="AB302" s="17"/>
      <c r="AC302" s="17"/>
      <c r="AD302" s="17"/>
      <c r="AE302" s="17"/>
      <c r="AF302" s="17"/>
      <c r="AG302" s="17"/>
      <c r="AH302" s="18"/>
      <c r="AI302" s="17"/>
    </row>
    <row r="303">
      <c r="E303" s="10" t="s">
        <v>1201</v>
      </c>
      <c r="F303" s="10"/>
      <c r="AB303" s="17"/>
      <c r="AC303" s="17"/>
      <c r="AD303" s="17"/>
      <c r="AE303" s="17"/>
      <c r="AF303" s="17"/>
      <c r="AG303" s="17"/>
      <c r="AH303" s="18"/>
      <c r="AI303" s="17"/>
    </row>
    <row r="304">
      <c r="E304" s="10" t="s">
        <v>1201</v>
      </c>
      <c r="F304" s="10"/>
      <c r="AB304" s="17"/>
      <c r="AC304" s="17"/>
      <c r="AD304" s="17"/>
      <c r="AE304" s="17"/>
      <c r="AF304" s="17"/>
      <c r="AG304" s="17"/>
      <c r="AH304" s="18"/>
      <c r="AI304" s="17"/>
    </row>
    <row r="305">
      <c r="E305" s="10" t="s">
        <v>1201</v>
      </c>
      <c r="F305" s="10"/>
      <c r="AB305" s="17"/>
      <c r="AC305" s="17"/>
      <c r="AD305" s="17"/>
      <c r="AE305" s="17"/>
      <c r="AF305" s="17"/>
      <c r="AG305" s="17"/>
      <c r="AH305" s="18"/>
      <c r="AI305" s="17"/>
    </row>
    <row r="306">
      <c r="E306" s="10" t="s">
        <v>1201</v>
      </c>
      <c r="F306" s="10"/>
      <c r="AB306" s="17"/>
      <c r="AC306" s="17"/>
      <c r="AD306" s="17"/>
      <c r="AE306" s="17"/>
      <c r="AF306" s="17"/>
      <c r="AG306" s="17"/>
      <c r="AH306" s="18"/>
      <c r="AI306" s="17"/>
    </row>
    <row r="307">
      <c r="E307" s="10" t="s">
        <v>1201</v>
      </c>
      <c r="F307" s="10"/>
      <c r="AB307" s="17"/>
      <c r="AC307" s="17"/>
      <c r="AD307" s="17"/>
      <c r="AE307" s="17"/>
      <c r="AF307" s="17"/>
      <c r="AG307" s="17"/>
      <c r="AH307" s="18"/>
      <c r="AI307" s="17"/>
    </row>
    <row r="308">
      <c r="E308" s="10" t="s">
        <v>1201</v>
      </c>
      <c r="F308" s="10"/>
      <c r="AB308" s="17"/>
      <c r="AC308" s="17"/>
      <c r="AD308" s="17"/>
      <c r="AE308" s="17"/>
      <c r="AF308" s="17"/>
      <c r="AG308" s="17"/>
      <c r="AH308" s="18"/>
      <c r="AI308" s="17"/>
    </row>
    <row r="309">
      <c r="E309" s="10" t="s">
        <v>1201</v>
      </c>
      <c r="F309" s="10"/>
      <c r="AB309" s="17"/>
      <c r="AC309" s="17"/>
      <c r="AD309" s="17"/>
      <c r="AE309" s="17"/>
      <c r="AF309" s="17"/>
      <c r="AG309" s="17"/>
      <c r="AH309" s="18"/>
      <c r="AI309" s="17"/>
    </row>
    <row r="310">
      <c r="E310" s="10" t="s">
        <v>1201</v>
      </c>
      <c r="F310" s="10"/>
      <c r="AB310" s="17"/>
      <c r="AC310" s="17"/>
      <c r="AD310" s="17"/>
      <c r="AE310" s="17"/>
      <c r="AF310" s="17"/>
      <c r="AG310" s="17"/>
      <c r="AH310" s="18"/>
      <c r="AI310" s="17"/>
    </row>
    <row r="311">
      <c r="E311" s="10" t="s">
        <v>1201</v>
      </c>
      <c r="F311" s="10"/>
      <c r="AB311" s="17"/>
      <c r="AC311" s="17"/>
      <c r="AD311" s="17"/>
      <c r="AE311" s="17"/>
      <c r="AF311" s="17"/>
      <c r="AG311" s="17"/>
      <c r="AH311" s="18"/>
      <c r="AI311" s="17"/>
    </row>
    <row r="312">
      <c r="E312" s="10" t="s">
        <v>1201</v>
      </c>
      <c r="F312" s="10"/>
      <c r="AB312" s="17"/>
      <c r="AC312" s="17"/>
      <c r="AD312" s="17"/>
      <c r="AE312" s="17"/>
      <c r="AF312" s="17"/>
      <c r="AG312" s="17"/>
      <c r="AH312" s="18"/>
      <c r="AI312" s="17"/>
    </row>
    <row r="313">
      <c r="E313" s="10" t="s">
        <v>1201</v>
      </c>
      <c r="F313" s="10"/>
      <c r="AB313" s="17"/>
      <c r="AC313" s="17"/>
      <c r="AD313" s="17"/>
      <c r="AE313" s="17"/>
      <c r="AF313" s="17"/>
      <c r="AG313" s="17"/>
      <c r="AH313" s="18"/>
      <c r="AI313" s="17"/>
    </row>
    <row r="314">
      <c r="E314" s="10" t="s">
        <v>1201</v>
      </c>
      <c r="F314" s="10"/>
      <c r="AB314" s="17"/>
      <c r="AC314" s="17"/>
      <c r="AD314" s="17"/>
      <c r="AE314" s="17"/>
      <c r="AF314" s="17"/>
      <c r="AG314" s="17"/>
      <c r="AH314" s="18"/>
      <c r="AI314" s="17"/>
    </row>
    <row r="315">
      <c r="E315" s="10" t="s">
        <v>1201</v>
      </c>
      <c r="F315" s="10"/>
      <c r="AB315" s="17"/>
      <c r="AC315" s="17"/>
      <c r="AD315" s="17"/>
      <c r="AE315" s="17"/>
      <c r="AF315" s="17"/>
      <c r="AG315" s="17"/>
      <c r="AH315" s="18"/>
      <c r="AI315" s="17"/>
    </row>
    <row r="316">
      <c r="E316" s="10" t="s">
        <v>1201</v>
      </c>
      <c r="F316" s="10"/>
      <c r="AB316" s="17"/>
      <c r="AC316" s="17"/>
      <c r="AD316" s="17"/>
      <c r="AE316" s="17"/>
      <c r="AF316" s="17"/>
      <c r="AG316" s="17"/>
      <c r="AH316" s="18"/>
      <c r="AI316" s="17"/>
    </row>
    <row r="317">
      <c r="E317" s="10" t="s">
        <v>1201</v>
      </c>
      <c r="F317" s="10"/>
      <c r="AB317" s="17"/>
      <c r="AC317" s="17"/>
      <c r="AD317" s="17"/>
      <c r="AE317" s="17"/>
      <c r="AF317" s="17"/>
      <c r="AG317" s="17"/>
      <c r="AH317" s="18"/>
      <c r="AI317" s="17"/>
    </row>
    <row r="318">
      <c r="E318" s="10" t="s">
        <v>1201</v>
      </c>
      <c r="F318" s="10"/>
      <c r="AB318" s="17"/>
      <c r="AC318" s="17"/>
      <c r="AD318" s="17"/>
      <c r="AE318" s="17"/>
      <c r="AF318" s="17"/>
      <c r="AG318" s="17"/>
      <c r="AH318" s="18"/>
      <c r="AI318" s="17"/>
    </row>
    <row r="319">
      <c r="E319" s="10" t="s">
        <v>1201</v>
      </c>
      <c r="F319" s="10"/>
      <c r="AB319" s="17"/>
      <c r="AC319" s="17"/>
      <c r="AD319" s="17"/>
      <c r="AE319" s="17"/>
      <c r="AF319" s="17"/>
      <c r="AG319" s="17"/>
      <c r="AH319" s="18"/>
      <c r="AI319" s="17"/>
    </row>
    <row r="320">
      <c r="E320" s="10" t="s">
        <v>1201</v>
      </c>
      <c r="F320" s="10"/>
      <c r="AB320" s="17"/>
      <c r="AC320" s="17"/>
      <c r="AD320" s="17"/>
      <c r="AE320" s="17"/>
      <c r="AF320" s="17"/>
      <c r="AG320" s="17"/>
      <c r="AH320" s="18"/>
      <c r="AI320" s="17"/>
    </row>
    <row r="321">
      <c r="E321" s="10" t="s">
        <v>1201</v>
      </c>
      <c r="F321" s="10"/>
      <c r="AB321" s="17"/>
      <c r="AC321" s="17"/>
      <c r="AD321" s="17"/>
      <c r="AE321" s="17"/>
      <c r="AF321" s="17"/>
      <c r="AG321" s="17"/>
      <c r="AH321" s="18"/>
      <c r="AI321" s="17"/>
    </row>
    <row r="322">
      <c r="E322" s="10" t="s">
        <v>1201</v>
      </c>
      <c r="F322" s="10"/>
      <c r="AB322" s="17"/>
      <c r="AC322" s="17"/>
      <c r="AD322" s="17"/>
      <c r="AE322" s="17"/>
      <c r="AF322" s="17"/>
      <c r="AG322" s="17"/>
      <c r="AH322" s="18"/>
      <c r="AI322" s="17"/>
    </row>
    <row r="323">
      <c r="E323" s="10" t="s">
        <v>1201</v>
      </c>
      <c r="F323" s="10"/>
      <c r="AB323" s="17"/>
      <c r="AC323" s="17"/>
      <c r="AD323" s="17"/>
      <c r="AE323" s="17"/>
      <c r="AF323" s="17"/>
      <c r="AG323" s="17"/>
      <c r="AH323" s="18"/>
      <c r="AI323" s="17"/>
    </row>
    <row r="324">
      <c r="E324" s="10" t="s">
        <v>1201</v>
      </c>
      <c r="F324" s="10"/>
      <c r="AB324" s="17"/>
      <c r="AC324" s="17"/>
      <c r="AD324" s="17"/>
      <c r="AE324" s="17"/>
      <c r="AF324" s="17"/>
      <c r="AG324" s="17"/>
      <c r="AH324" s="18"/>
      <c r="AI324" s="17"/>
    </row>
    <row r="325">
      <c r="E325" s="10" t="s">
        <v>1201</v>
      </c>
      <c r="F325" s="10"/>
      <c r="AB325" s="17"/>
      <c r="AC325" s="17"/>
      <c r="AD325" s="17"/>
      <c r="AE325" s="17"/>
      <c r="AF325" s="17"/>
      <c r="AG325" s="17"/>
      <c r="AH325" s="18"/>
      <c r="AI325" s="17"/>
    </row>
    <row r="326">
      <c r="E326" s="10" t="s">
        <v>1201</v>
      </c>
      <c r="F326" s="10"/>
      <c r="AB326" s="17"/>
      <c r="AC326" s="17"/>
      <c r="AD326" s="17"/>
      <c r="AE326" s="17"/>
      <c r="AF326" s="17"/>
      <c r="AG326" s="17"/>
      <c r="AH326" s="18"/>
      <c r="AI326" s="17"/>
    </row>
    <row r="327">
      <c r="E327" s="10" t="s">
        <v>1201</v>
      </c>
      <c r="F327" s="10"/>
      <c r="AB327" s="17"/>
      <c r="AC327" s="17"/>
      <c r="AD327" s="17"/>
      <c r="AE327" s="17"/>
      <c r="AF327" s="17"/>
      <c r="AG327" s="17"/>
      <c r="AH327" s="18"/>
      <c r="AI327" s="17"/>
    </row>
    <row r="328">
      <c r="E328" s="10" t="s">
        <v>1201</v>
      </c>
      <c r="F328" s="10"/>
      <c r="AB328" s="17"/>
      <c r="AC328" s="17"/>
      <c r="AD328" s="17"/>
      <c r="AE328" s="17"/>
      <c r="AF328" s="17"/>
      <c r="AG328" s="17"/>
      <c r="AH328" s="18"/>
      <c r="AI328" s="17"/>
    </row>
    <row r="329">
      <c r="E329" s="10" t="s">
        <v>1201</v>
      </c>
      <c r="F329" s="10"/>
      <c r="AB329" s="17"/>
      <c r="AC329" s="17"/>
      <c r="AD329" s="17"/>
      <c r="AE329" s="17"/>
      <c r="AF329" s="17"/>
      <c r="AG329" s="17"/>
      <c r="AH329" s="18"/>
      <c r="AI329" s="17"/>
    </row>
    <row r="330">
      <c r="E330" s="10" t="s">
        <v>1201</v>
      </c>
      <c r="F330" s="10"/>
      <c r="AB330" s="17"/>
      <c r="AC330" s="17"/>
      <c r="AD330" s="17"/>
      <c r="AE330" s="17"/>
      <c r="AF330" s="17"/>
      <c r="AG330" s="17"/>
      <c r="AH330" s="18"/>
      <c r="AI330" s="17"/>
    </row>
    <row r="331">
      <c r="E331" s="10" t="s">
        <v>1201</v>
      </c>
      <c r="F331" s="10"/>
      <c r="AB331" s="17"/>
      <c r="AC331" s="17"/>
      <c r="AD331" s="17"/>
      <c r="AE331" s="17"/>
      <c r="AF331" s="17"/>
      <c r="AG331" s="17"/>
      <c r="AH331" s="18"/>
      <c r="AI331" s="17"/>
    </row>
    <row r="332">
      <c r="E332" s="10" t="s">
        <v>1201</v>
      </c>
      <c r="F332" s="10"/>
      <c r="AB332" s="17"/>
      <c r="AC332" s="17"/>
      <c r="AD332" s="17"/>
      <c r="AE332" s="17"/>
      <c r="AF332" s="17"/>
      <c r="AG332" s="17"/>
      <c r="AH332" s="18"/>
      <c r="AI332" s="17"/>
    </row>
    <row r="333">
      <c r="E333" s="10" t="s">
        <v>1201</v>
      </c>
      <c r="F333" s="10"/>
      <c r="AB333" s="17"/>
      <c r="AC333" s="17"/>
      <c r="AD333" s="17"/>
      <c r="AE333" s="17"/>
      <c r="AF333" s="17"/>
      <c r="AG333" s="17"/>
      <c r="AH333" s="18"/>
      <c r="AI333" s="17"/>
    </row>
    <row r="334">
      <c r="E334" s="10" t="s">
        <v>1201</v>
      </c>
      <c r="F334" s="10"/>
      <c r="AB334" s="17"/>
      <c r="AC334" s="17"/>
      <c r="AD334" s="17"/>
      <c r="AE334" s="17"/>
      <c r="AF334" s="17"/>
      <c r="AG334" s="17"/>
      <c r="AH334" s="18"/>
      <c r="AI334" s="17"/>
    </row>
    <row r="335">
      <c r="E335" s="10" t="s">
        <v>1201</v>
      </c>
      <c r="F335" s="10"/>
      <c r="AB335" s="17"/>
      <c r="AC335" s="17"/>
      <c r="AD335" s="17"/>
      <c r="AE335" s="17"/>
      <c r="AF335" s="17"/>
      <c r="AG335" s="17"/>
      <c r="AH335" s="18"/>
      <c r="AI335" s="17"/>
    </row>
    <row r="336">
      <c r="E336" s="10" t="s">
        <v>1201</v>
      </c>
      <c r="F336" s="10"/>
      <c r="AB336" s="17"/>
      <c r="AC336" s="17"/>
      <c r="AD336" s="17"/>
      <c r="AE336" s="17"/>
      <c r="AF336" s="17"/>
      <c r="AG336" s="17"/>
      <c r="AH336" s="18"/>
      <c r="AI336" s="17"/>
    </row>
    <row r="337">
      <c r="E337" s="10" t="s">
        <v>1201</v>
      </c>
      <c r="F337" s="10"/>
      <c r="AB337" s="17"/>
      <c r="AC337" s="17"/>
      <c r="AD337" s="17"/>
      <c r="AE337" s="17"/>
      <c r="AF337" s="17"/>
      <c r="AG337" s="17"/>
      <c r="AH337" s="18"/>
      <c r="AI337" s="17"/>
    </row>
    <row r="338">
      <c r="E338" s="10" t="s">
        <v>1201</v>
      </c>
      <c r="F338" s="10"/>
      <c r="AB338" s="17"/>
      <c r="AC338" s="17"/>
      <c r="AD338" s="17"/>
      <c r="AE338" s="17"/>
      <c r="AF338" s="17"/>
      <c r="AG338" s="17"/>
      <c r="AH338" s="18"/>
      <c r="AI338" s="17"/>
    </row>
    <row r="339">
      <c r="E339" s="10" t="s">
        <v>1201</v>
      </c>
      <c r="F339" s="10"/>
      <c r="AB339" s="17"/>
      <c r="AC339" s="17"/>
      <c r="AD339" s="17"/>
      <c r="AE339" s="17"/>
      <c r="AF339" s="17"/>
      <c r="AG339" s="17"/>
      <c r="AH339" s="18"/>
      <c r="AI339" s="17"/>
    </row>
    <row r="340">
      <c r="E340" s="10" t="s">
        <v>1201</v>
      </c>
      <c r="F340" s="10"/>
      <c r="AB340" s="17"/>
      <c r="AC340" s="17"/>
      <c r="AD340" s="17"/>
      <c r="AE340" s="17"/>
      <c r="AF340" s="17"/>
      <c r="AG340" s="17"/>
      <c r="AH340" s="18"/>
      <c r="AI340" s="17"/>
    </row>
    <row r="341">
      <c r="E341" s="10" t="s">
        <v>1201</v>
      </c>
      <c r="F341" s="10"/>
      <c r="AB341" s="17"/>
      <c r="AC341" s="17"/>
      <c r="AD341" s="17"/>
      <c r="AE341" s="17"/>
      <c r="AF341" s="17"/>
      <c r="AG341" s="17"/>
      <c r="AH341" s="18"/>
      <c r="AI341" s="17"/>
    </row>
    <row r="342">
      <c r="E342" s="10" t="s">
        <v>1201</v>
      </c>
      <c r="F342" s="10"/>
      <c r="AB342" s="17"/>
      <c r="AC342" s="17"/>
      <c r="AD342" s="17"/>
      <c r="AE342" s="17"/>
      <c r="AF342" s="17"/>
      <c r="AG342" s="17"/>
      <c r="AH342" s="18"/>
      <c r="AI342" s="17"/>
    </row>
    <row r="343">
      <c r="E343" s="10" t="s">
        <v>1201</v>
      </c>
      <c r="F343" s="10"/>
      <c r="AB343" s="17"/>
      <c r="AC343" s="17"/>
      <c r="AD343" s="17"/>
      <c r="AE343" s="17"/>
      <c r="AF343" s="17"/>
      <c r="AG343" s="17"/>
      <c r="AH343" s="18"/>
      <c r="AI343" s="17"/>
    </row>
    <row r="344">
      <c r="E344" s="10" t="s">
        <v>1201</v>
      </c>
      <c r="F344" s="10"/>
      <c r="AB344" s="17"/>
      <c r="AC344" s="17"/>
      <c r="AD344" s="17"/>
      <c r="AE344" s="17"/>
      <c r="AF344" s="17"/>
      <c r="AG344" s="17"/>
      <c r="AH344" s="18"/>
      <c r="AI344" s="17"/>
    </row>
    <row r="345">
      <c r="E345" s="10" t="s">
        <v>1201</v>
      </c>
      <c r="F345" s="10"/>
      <c r="AB345" s="17"/>
      <c r="AC345" s="17"/>
      <c r="AD345" s="17"/>
      <c r="AE345" s="17"/>
      <c r="AF345" s="17"/>
      <c r="AG345" s="17"/>
      <c r="AH345" s="18"/>
      <c r="AI345" s="17"/>
    </row>
    <row r="346">
      <c r="E346" s="10" t="s">
        <v>1201</v>
      </c>
      <c r="F346" s="10"/>
      <c r="AB346" s="17"/>
      <c r="AC346" s="17"/>
      <c r="AD346" s="17"/>
      <c r="AE346" s="17"/>
      <c r="AF346" s="17"/>
      <c r="AG346" s="17"/>
      <c r="AH346" s="18"/>
      <c r="AI346" s="17"/>
    </row>
    <row r="347">
      <c r="E347" s="10" t="s">
        <v>1201</v>
      </c>
      <c r="F347" s="10"/>
      <c r="AB347" s="17"/>
      <c r="AC347" s="17"/>
      <c r="AD347" s="17"/>
      <c r="AE347" s="17"/>
      <c r="AF347" s="17"/>
      <c r="AG347" s="17"/>
      <c r="AH347" s="18"/>
      <c r="AI347" s="17"/>
    </row>
    <row r="348">
      <c r="E348" s="10" t="s">
        <v>1201</v>
      </c>
      <c r="F348" s="10"/>
      <c r="AB348" s="17"/>
      <c r="AC348" s="17"/>
      <c r="AD348" s="17"/>
      <c r="AE348" s="17"/>
      <c r="AF348" s="17"/>
      <c r="AG348" s="17"/>
      <c r="AH348" s="18"/>
      <c r="AI348" s="17"/>
    </row>
    <row r="349">
      <c r="E349" s="10" t="s">
        <v>1201</v>
      </c>
      <c r="F349" s="10"/>
      <c r="AB349" s="17"/>
      <c r="AC349" s="17"/>
      <c r="AD349" s="17"/>
      <c r="AE349" s="17"/>
      <c r="AF349" s="17"/>
      <c r="AG349" s="17"/>
      <c r="AH349" s="18"/>
      <c r="AI349" s="17"/>
    </row>
    <row r="350">
      <c r="E350" s="10" t="s">
        <v>1201</v>
      </c>
      <c r="F350" s="10"/>
      <c r="AB350" s="17"/>
      <c r="AC350" s="17"/>
      <c r="AD350" s="17"/>
      <c r="AE350" s="17"/>
      <c r="AF350" s="17"/>
      <c r="AG350" s="17"/>
      <c r="AH350" s="18"/>
      <c r="AI350" s="17"/>
    </row>
    <row r="351">
      <c r="E351" s="10" t="s">
        <v>1201</v>
      </c>
      <c r="F351" s="10"/>
      <c r="AB351" s="17"/>
      <c r="AC351" s="17"/>
      <c r="AD351" s="17"/>
      <c r="AE351" s="17"/>
      <c r="AF351" s="17"/>
      <c r="AG351" s="17"/>
      <c r="AH351" s="18"/>
      <c r="AI351" s="17"/>
    </row>
    <row r="352">
      <c r="E352" s="10" t="s">
        <v>1201</v>
      </c>
      <c r="F352" s="10"/>
      <c r="AB352" s="17"/>
      <c r="AC352" s="17"/>
      <c r="AD352" s="17"/>
      <c r="AE352" s="17"/>
      <c r="AF352" s="17"/>
      <c r="AG352" s="17"/>
      <c r="AH352" s="18"/>
      <c r="AI352" s="17"/>
    </row>
    <row r="353">
      <c r="E353" s="10" t="s">
        <v>1201</v>
      </c>
      <c r="F353" s="10"/>
      <c r="AB353" s="17"/>
      <c r="AC353" s="17"/>
      <c r="AD353" s="17"/>
      <c r="AE353" s="17"/>
      <c r="AF353" s="17"/>
      <c r="AG353" s="17"/>
      <c r="AH353" s="18"/>
      <c r="AI353" s="17"/>
    </row>
    <row r="354">
      <c r="E354" s="10" t="s">
        <v>1201</v>
      </c>
      <c r="F354" s="10"/>
      <c r="AB354" s="17"/>
      <c r="AC354" s="17"/>
      <c r="AD354" s="17"/>
      <c r="AE354" s="17"/>
      <c r="AF354" s="17"/>
      <c r="AG354" s="17"/>
      <c r="AH354" s="18"/>
      <c r="AI354" s="17"/>
    </row>
    <row r="355">
      <c r="E355" s="10" t="s">
        <v>1201</v>
      </c>
      <c r="F355" s="10"/>
      <c r="AB355" s="17"/>
      <c r="AC355" s="17"/>
      <c r="AD355" s="17"/>
      <c r="AE355" s="17"/>
      <c r="AF355" s="17"/>
      <c r="AG355" s="17"/>
      <c r="AH355" s="18"/>
      <c r="AI355" s="17"/>
    </row>
    <row r="356">
      <c r="E356" s="10" t="s">
        <v>1201</v>
      </c>
      <c r="F356" s="10"/>
      <c r="AB356" s="17"/>
      <c r="AC356" s="17"/>
      <c r="AD356" s="17"/>
      <c r="AE356" s="17"/>
      <c r="AF356" s="17"/>
      <c r="AG356" s="17"/>
      <c r="AH356" s="18"/>
      <c r="AI356" s="17"/>
    </row>
    <row r="357">
      <c r="E357" s="10" t="s">
        <v>1201</v>
      </c>
      <c r="F357" s="10"/>
      <c r="AB357" s="17"/>
      <c r="AC357" s="17"/>
      <c r="AD357" s="17"/>
      <c r="AE357" s="17"/>
      <c r="AF357" s="17"/>
      <c r="AG357" s="17"/>
      <c r="AH357" s="18"/>
      <c r="AI357" s="17"/>
    </row>
    <row r="358">
      <c r="E358" s="10" t="s">
        <v>1201</v>
      </c>
      <c r="F358" s="10"/>
      <c r="AB358" s="17"/>
      <c r="AC358" s="17"/>
      <c r="AD358" s="17"/>
      <c r="AE358" s="17"/>
      <c r="AF358" s="17"/>
      <c r="AG358" s="17"/>
      <c r="AH358" s="18"/>
      <c r="AI358" s="17"/>
    </row>
    <row r="359">
      <c r="E359" s="10" t="s">
        <v>1201</v>
      </c>
      <c r="F359" s="10"/>
      <c r="AB359" s="17"/>
      <c r="AC359" s="17"/>
      <c r="AD359" s="17"/>
      <c r="AE359" s="17"/>
      <c r="AF359" s="17"/>
      <c r="AG359" s="17"/>
      <c r="AH359" s="18"/>
      <c r="AI359" s="17"/>
    </row>
    <row r="360">
      <c r="E360" s="10" t="s">
        <v>1201</v>
      </c>
      <c r="F360" s="10"/>
      <c r="AB360" s="17"/>
      <c r="AC360" s="17"/>
      <c r="AD360" s="17"/>
      <c r="AE360" s="17"/>
      <c r="AF360" s="17"/>
      <c r="AG360" s="17"/>
      <c r="AH360" s="18"/>
      <c r="AI360" s="17"/>
    </row>
    <row r="361">
      <c r="E361" s="10" t="s">
        <v>1201</v>
      </c>
      <c r="F361" s="10"/>
      <c r="AB361" s="17"/>
      <c r="AC361" s="17"/>
      <c r="AD361" s="17"/>
      <c r="AE361" s="17"/>
      <c r="AF361" s="17"/>
      <c r="AG361" s="17"/>
      <c r="AH361" s="18"/>
      <c r="AI361" s="17"/>
    </row>
    <row r="362">
      <c r="E362" s="10" t="s">
        <v>1201</v>
      </c>
      <c r="F362" s="10"/>
      <c r="AB362" s="17"/>
      <c r="AC362" s="17"/>
      <c r="AD362" s="17"/>
      <c r="AE362" s="17"/>
      <c r="AF362" s="17"/>
      <c r="AG362" s="17"/>
      <c r="AH362" s="18"/>
      <c r="AI362" s="17"/>
    </row>
    <row r="363">
      <c r="E363" s="10" t="s">
        <v>1201</v>
      </c>
      <c r="F363" s="10"/>
      <c r="AB363" s="17"/>
      <c r="AC363" s="17"/>
      <c r="AD363" s="17"/>
      <c r="AE363" s="17"/>
      <c r="AF363" s="17"/>
      <c r="AG363" s="17"/>
      <c r="AH363" s="18"/>
      <c r="AI363" s="17"/>
    </row>
    <row r="364">
      <c r="E364" s="10" t="s">
        <v>1201</v>
      </c>
      <c r="F364" s="10"/>
      <c r="AB364" s="17"/>
      <c r="AC364" s="17"/>
      <c r="AD364" s="17"/>
      <c r="AE364" s="17"/>
      <c r="AF364" s="17"/>
      <c r="AG364" s="17"/>
      <c r="AH364" s="18"/>
      <c r="AI364" s="17"/>
    </row>
    <row r="365">
      <c r="E365" s="10" t="s">
        <v>1201</v>
      </c>
      <c r="F365" s="10"/>
      <c r="AB365" s="17"/>
      <c r="AC365" s="17"/>
      <c r="AD365" s="17"/>
      <c r="AE365" s="17"/>
      <c r="AF365" s="17"/>
      <c r="AG365" s="17"/>
      <c r="AH365" s="18"/>
      <c r="AI365" s="17"/>
    </row>
    <row r="366">
      <c r="E366" s="10" t="s">
        <v>1201</v>
      </c>
      <c r="F366" s="10"/>
      <c r="AB366" s="17"/>
      <c r="AC366" s="17"/>
      <c r="AD366" s="17"/>
      <c r="AE366" s="17"/>
      <c r="AF366" s="17"/>
      <c r="AG366" s="17"/>
      <c r="AH366" s="18"/>
      <c r="AI366" s="17"/>
    </row>
    <row r="367">
      <c r="E367" s="10" t="s">
        <v>1201</v>
      </c>
      <c r="F367" s="10"/>
      <c r="AB367" s="17"/>
      <c r="AC367" s="17"/>
      <c r="AD367" s="17"/>
      <c r="AE367" s="17"/>
      <c r="AF367" s="17"/>
      <c r="AG367" s="17"/>
      <c r="AH367" s="18"/>
      <c r="AI367" s="17"/>
    </row>
    <row r="368">
      <c r="E368" s="10" t="s">
        <v>1201</v>
      </c>
      <c r="F368" s="10"/>
      <c r="AB368" s="17"/>
      <c r="AC368" s="17"/>
      <c r="AD368" s="17"/>
      <c r="AE368" s="17"/>
      <c r="AF368" s="17"/>
      <c r="AG368" s="17"/>
      <c r="AH368" s="18"/>
      <c r="AI368" s="17"/>
    </row>
    <row r="369">
      <c r="E369" s="10" t="s">
        <v>1201</v>
      </c>
      <c r="F369" s="10"/>
      <c r="AB369" s="17"/>
      <c r="AC369" s="17"/>
      <c r="AD369" s="17"/>
      <c r="AE369" s="17"/>
      <c r="AF369" s="17"/>
      <c r="AG369" s="17"/>
      <c r="AH369" s="18"/>
      <c r="AI369" s="17"/>
    </row>
    <row r="370">
      <c r="E370" s="10" t="s">
        <v>1201</v>
      </c>
      <c r="F370" s="10"/>
      <c r="AB370" s="17"/>
      <c r="AC370" s="17"/>
      <c r="AD370" s="17"/>
      <c r="AE370" s="17"/>
      <c r="AF370" s="17"/>
      <c r="AG370" s="17"/>
      <c r="AH370" s="18"/>
      <c r="AI370" s="17"/>
    </row>
    <row r="371">
      <c r="E371" s="10" t="s">
        <v>1201</v>
      </c>
      <c r="F371" s="10"/>
      <c r="AB371" s="17"/>
      <c r="AC371" s="17"/>
      <c r="AD371" s="17"/>
      <c r="AE371" s="17"/>
      <c r="AF371" s="17"/>
      <c r="AG371" s="17"/>
      <c r="AH371" s="18"/>
      <c r="AI371" s="17"/>
    </row>
    <row r="372">
      <c r="E372" s="10" t="s">
        <v>1201</v>
      </c>
      <c r="F372" s="10"/>
      <c r="AB372" s="17"/>
      <c r="AC372" s="17"/>
      <c r="AD372" s="17"/>
      <c r="AE372" s="17"/>
      <c r="AF372" s="17"/>
      <c r="AG372" s="17"/>
      <c r="AH372" s="18"/>
      <c r="AI372" s="17"/>
    </row>
    <row r="373">
      <c r="E373" s="10" t="s">
        <v>1201</v>
      </c>
      <c r="F373" s="10"/>
      <c r="AB373" s="17"/>
      <c r="AC373" s="17"/>
      <c r="AD373" s="17"/>
      <c r="AE373" s="17"/>
      <c r="AF373" s="17"/>
      <c r="AG373" s="17"/>
      <c r="AH373" s="18"/>
      <c r="AI373" s="17"/>
    </row>
    <row r="374">
      <c r="E374" s="10" t="s">
        <v>1201</v>
      </c>
      <c r="F374" s="10"/>
      <c r="AB374" s="17"/>
      <c r="AC374" s="17"/>
      <c r="AD374" s="17"/>
      <c r="AE374" s="17"/>
      <c r="AF374" s="17"/>
      <c r="AG374" s="17"/>
      <c r="AH374" s="18"/>
      <c r="AI374" s="17"/>
    </row>
    <row r="375">
      <c r="E375" s="10" t="s">
        <v>1201</v>
      </c>
      <c r="F375" s="10"/>
      <c r="AB375" s="17"/>
      <c r="AC375" s="17"/>
      <c r="AD375" s="17"/>
      <c r="AE375" s="17"/>
      <c r="AF375" s="17"/>
      <c r="AG375" s="17"/>
      <c r="AH375" s="18"/>
      <c r="AI375" s="17"/>
    </row>
    <row r="376">
      <c r="E376" s="10" t="s">
        <v>1201</v>
      </c>
      <c r="F376" s="10"/>
      <c r="AB376" s="17"/>
      <c r="AC376" s="17"/>
      <c r="AD376" s="17"/>
      <c r="AE376" s="17"/>
      <c r="AF376" s="17"/>
      <c r="AG376" s="17"/>
      <c r="AH376" s="18"/>
      <c r="AI376" s="17"/>
    </row>
    <row r="377">
      <c r="E377" s="10" t="s">
        <v>1201</v>
      </c>
      <c r="F377" s="10"/>
      <c r="AB377" s="17"/>
      <c r="AC377" s="17"/>
      <c r="AD377" s="17"/>
      <c r="AE377" s="17"/>
      <c r="AF377" s="17"/>
      <c r="AG377" s="17"/>
      <c r="AH377" s="18"/>
      <c r="AI377" s="17"/>
    </row>
    <row r="378">
      <c r="E378" s="10" t="s">
        <v>1201</v>
      </c>
      <c r="F378" s="10"/>
      <c r="AB378" s="17"/>
      <c r="AC378" s="17"/>
      <c r="AD378" s="17"/>
      <c r="AE378" s="17"/>
      <c r="AF378" s="17"/>
      <c r="AG378" s="17"/>
      <c r="AH378" s="18"/>
      <c r="AI378" s="17"/>
    </row>
    <row r="379">
      <c r="E379" s="10" t="s">
        <v>1201</v>
      </c>
      <c r="F379" s="10"/>
      <c r="AB379" s="17"/>
      <c r="AC379" s="17"/>
      <c r="AD379" s="17"/>
      <c r="AE379" s="17"/>
      <c r="AF379" s="17"/>
      <c r="AG379" s="17"/>
      <c r="AH379" s="18"/>
      <c r="AI379" s="17"/>
    </row>
    <row r="380">
      <c r="E380" s="10" t="s">
        <v>1201</v>
      </c>
      <c r="F380" s="10"/>
      <c r="AB380" s="17"/>
      <c r="AC380" s="17"/>
      <c r="AD380" s="17"/>
      <c r="AE380" s="17"/>
      <c r="AF380" s="17"/>
      <c r="AG380" s="17"/>
      <c r="AH380" s="18"/>
      <c r="AI380" s="17"/>
    </row>
    <row r="381">
      <c r="E381" s="10" t="s">
        <v>1201</v>
      </c>
      <c r="F381" s="10"/>
      <c r="AB381" s="17"/>
      <c r="AC381" s="17"/>
      <c r="AD381" s="17"/>
      <c r="AE381" s="17"/>
      <c r="AF381" s="17"/>
      <c r="AG381" s="17"/>
      <c r="AH381" s="18"/>
      <c r="AI381" s="17"/>
    </row>
    <row r="382">
      <c r="E382" s="10" t="s">
        <v>1201</v>
      </c>
      <c r="F382" s="10"/>
      <c r="AB382" s="17"/>
      <c r="AC382" s="17"/>
      <c r="AD382" s="17"/>
      <c r="AE382" s="17"/>
      <c r="AF382" s="17"/>
      <c r="AG382" s="17"/>
      <c r="AH382" s="18"/>
      <c r="AI382" s="17"/>
    </row>
    <row r="383">
      <c r="E383" s="10" t="s">
        <v>1201</v>
      </c>
      <c r="F383" s="10"/>
      <c r="AB383" s="17"/>
      <c r="AC383" s="17"/>
      <c r="AD383" s="17"/>
      <c r="AE383" s="17"/>
      <c r="AF383" s="17"/>
      <c r="AG383" s="17"/>
      <c r="AH383" s="18"/>
      <c r="AI383" s="17"/>
    </row>
    <row r="384">
      <c r="E384" s="10" t="s">
        <v>1201</v>
      </c>
      <c r="F384" s="10"/>
      <c r="AB384" s="17"/>
      <c r="AC384" s="17"/>
      <c r="AD384" s="17"/>
      <c r="AE384" s="17"/>
      <c r="AF384" s="17"/>
      <c r="AG384" s="17"/>
      <c r="AH384" s="18"/>
      <c r="AI384" s="17"/>
    </row>
    <row r="385">
      <c r="E385" s="10" t="s">
        <v>1201</v>
      </c>
      <c r="F385" s="10"/>
      <c r="AB385" s="17"/>
      <c r="AC385" s="17"/>
      <c r="AD385" s="17"/>
      <c r="AE385" s="17"/>
      <c r="AF385" s="17"/>
      <c r="AG385" s="17"/>
      <c r="AH385" s="18"/>
      <c r="AI385" s="17"/>
    </row>
    <row r="386">
      <c r="E386" s="10" t="s">
        <v>1201</v>
      </c>
      <c r="F386" s="10"/>
      <c r="AB386" s="17"/>
      <c r="AC386" s="17"/>
      <c r="AD386" s="17"/>
      <c r="AE386" s="17"/>
      <c r="AF386" s="17"/>
      <c r="AG386" s="17"/>
      <c r="AH386" s="18"/>
      <c r="AI386" s="17"/>
    </row>
    <row r="387">
      <c r="E387" s="10" t="s">
        <v>1201</v>
      </c>
      <c r="F387" s="10"/>
      <c r="AB387" s="17"/>
      <c r="AC387" s="17"/>
      <c r="AD387" s="17"/>
      <c r="AE387" s="17"/>
      <c r="AF387" s="17"/>
      <c r="AG387" s="17"/>
      <c r="AH387" s="18"/>
      <c r="AI387" s="17"/>
    </row>
    <row r="388">
      <c r="E388" s="10" t="s">
        <v>1201</v>
      </c>
      <c r="F388" s="10"/>
      <c r="AB388" s="17"/>
      <c r="AC388" s="17"/>
      <c r="AD388" s="17"/>
      <c r="AE388" s="17"/>
      <c r="AF388" s="17"/>
      <c r="AG388" s="17"/>
      <c r="AH388" s="18"/>
      <c r="AI388" s="17"/>
    </row>
    <row r="389">
      <c r="E389" s="10" t="s">
        <v>1201</v>
      </c>
      <c r="F389" s="10"/>
      <c r="AB389" s="17"/>
      <c r="AC389" s="17"/>
      <c r="AD389" s="17"/>
      <c r="AE389" s="17"/>
      <c r="AF389" s="17"/>
      <c r="AG389" s="17"/>
      <c r="AH389" s="18"/>
      <c r="AI389" s="17"/>
    </row>
    <row r="390">
      <c r="E390" s="10" t="s">
        <v>1201</v>
      </c>
      <c r="F390" s="10"/>
      <c r="AB390" s="17"/>
      <c r="AC390" s="17"/>
      <c r="AD390" s="17"/>
      <c r="AE390" s="17"/>
      <c r="AF390" s="17"/>
      <c r="AG390" s="17"/>
      <c r="AH390" s="18"/>
      <c r="AI390" s="17"/>
    </row>
    <row r="391">
      <c r="E391" s="10" t="s">
        <v>1201</v>
      </c>
      <c r="F391" s="10"/>
      <c r="AB391" s="17"/>
      <c r="AC391" s="17"/>
      <c r="AD391" s="17"/>
      <c r="AE391" s="17"/>
      <c r="AF391" s="17"/>
      <c r="AG391" s="17"/>
      <c r="AH391" s="18"/>
      <c r="AI391" s="17"/>
    </row>
    <row r="392">
      <c r="E392" s="10" t="s">
        <v>1201</v>
      </c>
      <c r="F392" s="10"/>
      <c r="AB392" s="17"/>
      <c r="AC392" s="17"/>
      <c r="AD392" s="17"/>
      <c r="AE392" s="17"/>
      <c r="AF392" s="17"/>
      <c r="AG392" s="17"/>
      <c r="AH392" s="18"/>
      <c r="AI392" s="17"/>
    </row>
    <row r="393">
      <c r="E393" s="10" t="s">
        <v>1201</v>
      </c>
      <c r="F393" s="10"/>
      <c r="AB393" s="17"/>
      <c r="AC393" s="17"/>
      <c r="AD393" s="17"/>
      <c r="AE393" s="17"/>
      <c r="AF393" s="17"/>
      <c r="AG393" s="17"/>
      <c r="AH393" s="18"/>
      <c r="AI393" s="17"/>
    </row>
    <row r="394">
      <c r="E394" s="10" t="s">
        <v>1201</v>
      </c>
      <c r="F394" s="10"/>
      <c r="AB394" s="17"/>
      <c r="AC394" s="17"/>
      <c r="AD394" s="17"/>
      <c r="AE394" s="17"/>
      <c r="AF394" s="17"/>
      <c r="AG394" s="17"/>
      <c r="AH394" s="18"/>
      <c r="AI394" s="17"/>
    </row>
    <row r="395">
      <c r="E395" s="10" t="s">
        <v>1201</v>
      </c>
      <c r="F395" s="10"/>
      <c r="AB395" s="17"/>
      <c r="AC395" s="17"/>
      <c r="AD395" s="17"/>
      <c r="AE395" s="17"/>
      <c r="AF395" s="17"/>
      <c r="AG395" s="17"/>
      <c r="AH395" s="18"/>
      <c r="AI395" s="17"/>
    </row>
    <row r="396">
      <c r="E396" s="10" t="s">
        <v>1201</v>
      </c>
      <c r="F396" s="10"/>
      <c r="AB396" s="17"/>
      <c r="AC396" s="17"/>
      <c r="AD396" s="17"/>
      <c r="AE396" s="17"/>
      <c r="AF396" s="17"/>
      <c r="AG396" s="17"/>
      <c r="AH396" s="18"/>
      <c r="AI396" s="17"/>
    </row>
    <row r="397">
      <c r="E397" s="10" t="s">
        <v>1201</v>
      </c>
      <c r="F397" s="10"/>
      <c r="AB397" s="17"/>
      <c r="AC397" s="17"/>
      <c r="AD397" s="17"/>
      <c r="AE397" s="17"/>
      <c r="AF397" s="17"/>
      <c r="AG397" s="17"/>
      <c r="AH397" s="18"/>
      <c r="AI397" s="17"/>
    </row>
    <row r="398">
      <c r="E398" s="10" t="s">
        <v>1201</v>
      </c>
      <c r="F398" s="10"/>
      <c r="AB398" s="17"/>
      <c r="AC398" s="17"/>
      <c r="AD398" s="17"/>
      <c r="AE398" s="17"/>
      <c r="AF398" s="17"/>
      <c r="AG398" s="17"/>
      <c r="AH398" s="18"/>
      <c r="AI398" s="17"/>
    </row>
    <row r="399">
      <c r="E399" s="10" t="s">
        <v>1201</v>
      </c>
      <c r="F399" s="10"/>
      <c r="AB399" s="17"/>
      <c r="AC399" s="17"/>
      <c r="AD399" s="17"/>
      <c r="AE399" s="17"/>
      <c r="AF399" s="17"/>
      <c r="AG399" s="17"/>
      <c r="AH399" s="18"/>
      <c r="AI399" s="17"/>
    </row>
    <row r="400">
      <c r="E400" s="10" t="s">
        <v>1201</v>
      </c>
      <c r="F400" s="10"/>
      <c r="AB400" s="17"/>
      <c r="AC400" s="17"/>
      <c r="AD400" s="17"/>
      <c r="AE400" s="17"/>
      <c r="AF400" s="17"/>
      <c r="AG400" s="17"/>
      <c r="AH400" s="18"/>
      <c r="AI400" s="17"/>
    </row>
    <row r="401">
      <c r="E401" s="10" t="s">
        <v>1201</v>
      </c>
      <c r="F401" s="10"/>
      <c r="AB401" s="17"/>
      <c r="AC401" s="17"/>
      <c r="AD401" s="17"/>
      <c r="AE401" s="17"/>
      <c r="AF401" s="17"/>
      <c r="AG401" s="17"/>
      <c r="AH401" s="18"/>
      <c r="AI401" s="17"/>
    </row>
    <row r="402">
      <c r="E402" s="10" t="s">
        <v>1201</v>
      </c>
      <c r="F402" s="10"/>
      <c r="AB402" s="17"/>
      <c r="AC402" s="17"/>
      <c r="AD402" s="17"/>
      <c r="AE402" s="17"/>
      <c r="AF402" s="17"/>
      <c r="AG402" s="17"/>
      <c r="AH402" s="18"/>
      <c r="AI402" s="17"/>
    </row>
    <row r="403">
      <c r="E403" s="10" t="s">
        <v>1201</v>
      </c>
      <c r="F403" s="10"/>
      <c r="AB403" s="17"/>
      <c r="AC403" s="17"/>
      <c r="AD403" s="17"/>
      <c r="AE403" s="17"/>
      <c r="AF403" s="17"/>
      <c r="AG403" s="17"/>
      <c r="AH403" s="18"/>
      <c r="AI403" s="17"/>
    </row>
    <row r="404">
      <c r="E404" s="10" t="s">
        <v>1201</v>
      </c>
      <c r="F404" s="10"/>
      <c r="AB404" s="17"/>
      <c r="AC404" s="17"/>
      <c r="AD404" s="17"/>
      <c r="AE404" s="17"/>
      <c r="AF404" s="17"/>
      <c r="AG404" s="17"/>
      <c r="AH404" s="18"/>
      <c r="AI404" s="17"/>
    </row>
    <row r="405">
      <c r="E405" s="10" t="s">
        <v>1201</v>
      </c>
      <c r="F405" s="10"/>
      <c r="AB405" s="17"/>
      <c r="AC405" s="17"/>
      <c r="AD405" s="17"/>
      <c r="AE405" s="17"/>
      <c r="AF405" s="17"/>
      <c r="AG405" s="17"/>
      <c r="AH405" s="18"/>
      <c r="AI405" s="17"/>
    </row>
    <row r="406">
      <c r="E406" s="10" t="s">
        <v>1201</v>
      </c>
      <c r="F406" s="10"/>
      <c r="AB406" s="17"/>
      <c r="AC406" s="17"/>
      <c r="AD406" s="17"/>
      <c r="AE406" s="17"/>
      <c r="AF406" s="17"/>
      <c r="AG406" s="17"/>
      <c r="AH406" s="18"/>
      <c r="AI406" s="17"/>
    </row>
    <row r="407">
      <c r="E407" s="10" t="s">
        <v>1201</v>
      </c>
      <c r="F407" s="10"/>
      <c r="AB407" s="17"/>
      <c r="AC407" s="17"/>
      <c r="AD407" s="17"/>
      <c r="AE407" s="17"/>
      <c r="AF407" s="17"/>
      <c r="AG407" s="17"/>
      <c r="AH407" s="18"/>
      <c r="AI407" s="17"/>
    </row>
    <row r="408">
      <c r="E408" s="10" t="s">
        <v>1201</v>
      </c>
      <c r="F408" s="10"/>
      <c r="AB408" s="17"/>
      <c r="AC408" s="17"/>
      <c r="AD408" s="17"/>
      <c r="AE408" s="17"/>
      <c r="AF408" s="17"/>
      <c r="AG408" s="17"/>
      <c r="AH408" s="18"/>
      <c r="AI408" s="17"/>
    </row>
    <row r="409">
      <c r="E409" s="10" t="s">
        <v>1201</v>
      </c>
      <c r="F409" s="10"/>
      <c r="AB409" s="17"/>
      <c r="AC409" s="17"/>
      <c r="AD409" s="17"/>
      <c r="AE409" s="17"/>
      <c r="AF409" s="17"/>
      <c r="AG409" s="17"/>
      <c r="AH409" s="18"/>
      <c r="AI409" s="17"/>
    </row>
    <row r="410">
      <c r="E410" s="10" t="s">
        <v>1201</v>
      </c>
      <c r="F410" s="10"/>
      <c r="AB410" s="17"/>
      <c r="AC410" s="17"/>
      <c r="AD410" s="17"/>
      <c r="AE410" s="17"/>
      <c r="AF410" s="17"/>
      <c r="AG410" s="17"/>
      <c r="AH410" s="18"/>
      <c r="AI410" s="17"/>
    </row>
    <row r="411">
      <c r="E411" s="10" t="s">
        <v>1201</v>
      </c>
      <c r="F411" s="10"/>
      <c r="AB411" s="17"/>
      <c r="AC411" s="17"/>
      <c r="AD411" s="17"/>
      <c r="AE411" s="17"/>
      <c r="AF411" s="17"/>
      <c r="AG411" s="17"/>
      <c r="AH411" s="18"/>
      <c r="AI411" s="17"/>
    </row>
    <row r="412">
      <c r="E412" s="10" t="s">
        <v>1201</v>
      </c>
      <c r="F412" s="10"/>
      <c r="AB412" s="17"/>
      <c r="AC412" s="17"/>
      <c r="AD412" s="17"/>
      <c r="AE412" s="17"/>
      <c r="AF412" s="17"/>
      <c r="AG412" s="17"/>
      <c r="AH412" s="18"/>
      <c r="AI412" s="17"/>
    </row>
    <row r="413">
      <c r="E413" s="10" t="s">
        <v>1201</v>
      </c>
      <c r="F413" s="10"/>
      <c r="AB413" s="17"/>
      <c r="AC413" s="17"/>
      <c r="AD413" s="17"/>
      <c r="AE413" s="17"/>
      <c r="AF413" s="17"/>
      <c r="AG413" s="17"/>
      <c r="AH413" s="18"/>
      <c r="AI413" s="17"/>
    </row>
    <row r="414">
      <c r="E414" s="10" t="s">
        <v>1201</v>
      </c>
      <c r="F414" s="10"/>
      <c r="AB414" s="17"/>
      <c r="AC414" s="17"/>
      <c r="AD414" s="17"/>
      <c r="AE414" s="17"/>
      <c r="AF414" s="17"/>
      <c r="AG414" s="17"/>
      <c r="AH414" s="18"/>
      <c r="AI414" s="17"/>
    </row>
    <row r="415">
      <c r="E415" s="10" t="s">
        <v>1201</v>
      </c>
      <c r="F415" s="10"/>
      <c r="AB415" s="17"/>
      <c r="AC415" s="17"/>
      <c r="AD415" s="17"/>
      <c r="AE415" s="17"/>
      <c r="AF415" s="17"/>
      <c r="AG415" s="17"/>
      <c r="AH415" s="18"/>
      <c r="AI415" s="17"/>
    </row>
    <row r="416">
      <c r="E416" s="10" t="s">
        <v>1201</v>
      </c>
      <c r="F416" s="10"/>
      <c r="AB416" s="17"/>
      <c r="AC416" s="17"/>
      <c r="AD416" s="17"/>
      <c r="AE416" s="17"/>
      <c r="AF416" s="17"/>
      <c r="AG416" s="17"/>
      <c r="AH416" s="18"/>
      <c r="AI416" s="17"/>
    </row>
    <row r="417">
      <c r="E417" s="10" t="s">
        <v>1201</v>
      </c>
      <c r="F417" s="10"/>
      <c r="AB417" s="17"/>
      <c r="AC417" s="17"/>
      <c r="AD417" s="17"/>
      <c r="AE417" s="17"/>
      <c r="AF417" s="17"/>
      <c r="AG417" s="17"/>
      <c r="AH417" s="18"/>
      <c r="AI417" s="17"/>
    </row>
    <row r="418">
      <c r="E418" s="10" t="s">
        <v>1201</v>
      </c>
      <c r="F418" s="10"/>
      <c r="AB418" s="17"/>
      <c r="AC418" s="17"/>
      <c r="AD418" s="17"/>
      <c r="AE418" s="17"/>
      <c r="AF418" s="17"/>
      <c r="AG418" s="17"/>
      <c r="AH418" s="18"/>
      <c r="AI418" s="17"/>
    </row>
    <row r="419">
      <c r="E419" s="10" t="s">
        <v>1201</v>
      </c>
      <c r="F419" s="10"/>
      <c r="AB419" s="17"/>
      <c r="AC419" s="17"/>
      <c r="AD419" s="17"/>
      <c r="AE419" s="17"/>
      <c r="AF419" s="17"/>
      <c r="AG419" s="17"/>
      <c r="AH419" s="18"/>
      <c r="AI419" s="17"/>
    </row>
    <row r="420">
      <c r="E420" s="10" t="s">
        <v>1201</v>
      </c>
      <c r="F420" s="10"/>
      <c r="AB420" s="17"/>
      <c r="AC420" s="17"/>
      <c r="AD420" s="17"/>
      <c r="AE420" s="17"/>
      <c r="AF420" s="17"/>
      <c r="AG420" s="17"/>
      <c r="AH420" s="18"/>
      <c r="AI420" s="17"/>
    </row>
    <row r="421">
      <c r="E421" s="10" t="s">
        <v>1201</v>
      </c>
      <c r="F421" s="10"/>
      <c r="AB421" s="17"/>
      <c r="AC421" s="17"/>
      <c r="AD421" s="17"/>
      <c r="AE421" s="17"/>
      <c r="AF421" s="17"/>
      <c r="AG421" s="17"/>
      <c r="AH421" s="18"/>
      <c r="AI421" s="17"/>
    </row>
    <row r="422">
      <c r="E422" s="10" t="s">
        <v>1201</v>
      </c>
      <c r="F422" s="10"/>
      <c r="AB422" s="17"/>
      <c r="AC422" s="17"/>
      <c r="AD422" s="17"/>
      <c r="AE422" s="17"/>
      <c r="AF422" s="17"/>
      <c r="AG422" s="17"/>
      <c r="AH422" s="18"/>
      <c r="AI422" s="17"/>
    </row>
    <row r="423">
      <c r="E423" s="10" t="s">
        <v>1201</v>
      </c>
      <c r="F423" s="10"/>
      <c r="AB423" s="17"/>
      <c r="AC423" s="17"/>
      <c r="AD423" s="17"/>
      <c r="AE423" s="17"/>
      <c r="AF423" s="17"/>
      <c r="AG423" s="17"/>
      <c r="AH423" s="18"/>
      <c r="AI423" s="17"/>
    </row>
    <row r="424">
      <c r="E424" s="10" t="s">
        <v>1201</v>
      </c>
      <c r="F424" s="10"/>
      <c r="AB424" s="17"/>
      <c r="AC424" s="17"/>
      <c r="AD424" s="17"/>
      <c r="AE424" s="17"/>
      <c r="AF424" s="17"/>
      <c r="AG424" s="17"/>
      <c r="AH424" s="18"/>
      <c r="AI424" s="17"/>
    </row>
    <row r="425">
      <c r="E425" s="10" t="s">
        <v>1201</v>
      </c>
      <c r="F425" s="10"/>
      <c r="AB425" s="17"/>
      <c r="AC425" s="17"/>
      <c r="AD425" s="17"/>
      <c r="AE425" s="17"/>
      <c r="AF425" s="17"/>
      <c r="AG425" s="17"/>
      <c r="AH425" s="18"/>
      <c r="AI425" s="17"/>
    </row>
    <row r="426">
      <c r="E426" s="10" t="s">
        <v>1201</v>
      </c>
      <c r="F426" s="10"/>
      <c r="AB426" s="17"/>
      <c r="AC426" s="17"/>
      <c r="AD426" s="17"/>
      <c r="AE426" s="17"/>
      <c r="AF426" s="17"/>
      <c r="AG426" s="17"/>
      <c r="AH426" s="18"/>
      <c r="AI426" s="17"/>
    </row>
    <row r="427">
      <c r="E427" s="10" t="s">
        <v>1201</v>
      </c>
      <c r="F427" s="10"/>
      <c r="AB427" s="17"/>
      <c r="AC427" s="17"/>
      <c r="AD427" s="17"/>
      <c r="AE427" s="17"/>
      <c r="AF427" s="17"/>
      <c r="AG427" s="17"/>
      <c r="AH427" s="18"/>
      <c r="AI427" s="17"/>
    </row>
    <row r="428">
      <c r="E428" s="10" t="s">
        <v>1201</v>
      </c>
      <c r="F428" s="10"/>
      <c r="AB428" s="17"/>
      <c r="AC428" s="17"/>
      <c r="AD428" s="17"/>
      <c r="AE428" s="17"/>
      <c r="AF428" s="17"/>
      <c r="AG428" s="17"/>
      <c r="AH428" s="18"/>
      <c r="AI428" s="17"/>
    </row>
    <row r="429">
      <c r="E429" s="10" t="s">
        <v>1201</v>
      </c>
      <c r="F429" s="10"/>
      <c r="AB429" s="17"/>
      <c r="AC429" s="17"/>
      <c r="AD429" s="17"/>
      <c r="AE429" s="17"/>
      <c r="AF429" s="17"/>
      <c r="AG429" s="17"/>
      <c r="AH429" s="18"/>
      <c r="AI429" s="17"/>
    </row>
    <row r="430">
      <c r="E430" s="10" t="s">
        <v>1201</v>
      </c>
      <c r="F430" s="10"/>
      <c r="AB430" s="17"/>
      <c r="AC430" s="17"/>
      <c r="AD430" s="17"/>
      <c r="AE430" s="17"/>
      <c r="AF430" s="17"/>
      <c r="AG430" s="17"/>
      <c r="AH430" s="18"/>
      <c r="AI430" s="17"/>
    </row>
    <row r="431">
      <c r="E431" s="10" t="s">
        <v>1201</v>
      </c>
      <c r="F431" s="10"/>
      <c r="AB431" s="17"/>
      <c r="AC431" s="17"/>
      <c r="AD431" s="17"/>
      <c r="AE431" s="17"/>
      <c r="AF431" s="17"/>
      <c r="AG431" s="17"/>
      <c r="AH431" s="18"/>
      <c r="AI431" s="17"/>
    </row>
    <row r="432">
      <c r="E432" s="10" t="s">
        <v>1201</v>
      </c>
      <c r="F432" s="10"/>
      <c r="AB432" s="17"/>
      <c r="AC432" s="17"/>
      <c r="AD432" s="17"/>
      <c r="AE432" s="17"/>
      <c r="AF432" s="17"/>
      <c r="AG432" s="17"/>
      <c r="AH432" s="18"/>
      <c r="AI432" s="17"/>
    </row>
    <row r="433">
      <c r="E433" s="10" t="s">
        <v>1201</v>
      </c>
      <c r="F433" s="10"/>
      <c r="AB433" s="17"/>
      <c r="AC433" s="17"/>
      <c r="AD433" s="17"/>
      <c r="AE433" s="17"/>
      <c r="AF433" s="17"/>
      <c r="AG433" s="17"/>
      <c r="AH433" s="18"/>
      <c r="AI433" s="17"/>
    </row>
    <row r="434">
      <c r="E434" s="10" t="s">
        <v>1201</v>
      </c>
      <c r="F434" s="10"/>
      <c r="AB434" s="17"/>
      <c r="AC434" s="17"/>
      <c r="AD434" s="17"/>
      <c r="AE434" s="17"/>
      <c r="AF434" s="17"/>
      <c r="AG434" s="17"/>
      <c r="AH434" s="18"/>
      <c r="AI434" s="17"/>
    </row>
    <row r="435">
      <c r="E435" s="10" t="s">
        <v>1201</v>
      </c>
      <c r="F435" s="10"/>
      <c r="AB435" s="17"/>
      <c r="AC435" s="17"/>
      <c r="AD435" s="17"/>
      <c r="AE435" s="17"/>
      <c r="AF435" s="17"/>
      <c r="AG435" s="17"/>
      <c r="AH435" s="18"/>
      <c r="AI435" s="17"/>
    </row>
    <row r="436">
      <c r="E436" s="10" t="s">
        <v>1201</v>
      </c>
      <c r="F436" s="10"/>
      <c r="AB436" s="17"/>
      <c r="AC436" s="17"/>
      <c r="AD436" s="17"/>
      <c r="AE436" s="17"/>
      <c r="AF436" s="17"/>
      <c r="AG436" s="17"/>
      <c r="AH436" s="18"/>
      <c r="AI436" s="17"/>
    </row>
    <row r="437">
      <c r="E437" s="10" t="s">
        <v>1201</v>
      </c>
      <c r="F437" s="10"/>
      <c r="AB437" s="17"/>
      <c r="AC437" s="17"/>
      <c r="AD437" s="17"/>
      <c r="AE437" s="17"/>
      <c r="AF437" s="17"/>
      <c r="AG437" s="17"/>
      <c r="AH437" s="18"/>
      <c r="AI437" s="17"/>
    </row>
    <row r="438">
      <c r="E438" s="10" t="s">
        <v>1201</v>
      </c>
      <c r="F438" s="10"/>
      <c r="AB438" s="17"/>
      <c r="AC438" s="17"/>
      <c r="AD438" s="17"/>
      <c r="AE438" s="17"/>
      <c r="AF438" s="17"/>
      <c r="AG438" s="17"/>
      <c r="AH438" s="18"/>
      <c r="AI438" s="17"/>
    </row>
    <row r="439">
      <c r="E439" s="10" t="s">
        <v>1201</v>
      </c>
      <c r="F439" s="10"/>
      <c r="AB439" s="17"/>
      <c r="AC439" s="17"/>
      <c r="AD439" s="17"/>
      <c r="AE439" s="17"/>
      <c r="AF439" s="17"/>
      <c r="AG439" s="17"/>
      <c r="AH439" s="18"/>
      <c r="AI439" s="17"/>
    </row>
    <row r="440">
      <c r="E440" s="10" t="s">
        <v>1201</v>
      </c>
      <c r="F440" s="10"/>
      <c r="AB440" s="17"/>
      <c r="AC440" s="17"/>
      <c r="AD440" s="17"/>
      <c r="AE440" s="17"/>
      <c r="AF440" s="17"/>
      <c r="AG440" s="17"/>
      <c r="AH440" s="18"/>
      <c r="AI440" s="17"/>
    </row>
    <row r="441">
      <c r="E441" s="10" t="s">
        <v>1201</v>
      </c>
      <c r="F441" s="10"/>
      <c r="AB441" s="17"/>
      <c r="AC441" s="17"/>
      <c r="AD441" s="17"/>
      <c r="AE441" s="17"/>
      <c r="AF441" s="17"/>
      <c r="AG441" s="17"/>
      <c r="AH441" s="18"/>
      <c r="AI441" s="17"/>
    </row>
    <row r="442">
      <c r="E442" s="10" t="s">
        <v>1201</v>
      </c>
      <c r="F442" s="10"/>
      <c r="AB442" s="17"/>
      <c r="AC442" s="17"/>
      <c r="AD442" s="17"/>
      <c r="AE442" s="17"/>
      <c r="AF442" s="17"/>
      <c r="AG442" s="17"/>
      <c r="AH442" s="18"/>
      <c r="AI442" s="17"/>
    </row>
    <row r="443">
      <c r="E443" s="10" t="s">
        <v>1201</v>
      </c>
      <c r="F443" s="10"/>
      <c r="AB443" s="17"/>
      <c r="AC443" s="17"/>
      <c r="AD443" s="17"/>
      <c r="AE443" s="17"/>
      <c r="AF443" s="17"/>
      <c r="AG443" s="17"/>
      <c r="AH443" s="18"/>
      <c r="AI443" s="17"/>
    </row>
    <row r="444">
      <c r="E444" s="10" t="s">
        <v>1201</v>
      </c>
      <c r="F444" s="10"/>
      <c r="AB444" s="17"/>
      <c r="AC444" s="17"/>
      <c r="AD444" s="17"/>
      <c r="AE444" s="17"/>
      <c r="AF444" s="17"/>
      <c r="AG444" s="17"/>
      <c r="AH444" s="18"/>
      <c r="AI444" s="17"/>
    </row>
    <row r="445">
      <c r="E445" s="10" t="s">
        <v>1201</v>
      </c>
      <c r="F445" s="10"/>
      <c r="AB445" s="17"/>
      <c r="AC445" s="17"/>
      <c r="AD445" s="17"/>
      <c r="AE445" s="17"/>
      <c r="AF445" s="17"/>
      <c r="AG445" s="17"/>
      <c r="AH445" s="18"/>
      <c r="AI445" s="17"/>
    </row>
    <row r="446">
      <c r="E446" s="10" t="s">
        <v>1201</v>
      </c>
      <c r="F446" s="10"/>
      <c r="AB446" s="17"/>
      <c r="AC446" s="17"/>
      <c r="AD446" s="17"/>
      <c r="AE446" s="17"/>
      <c r="AF446" s="17"/>
      <c r="AG446" s="17"/>
      <c r="AH446" s="18"/>
      <c r="AI446" s="17"/>
    </row>
    <row r="447">
      <c r="E447" s="10" t="s">
        <v>1201</v>
      </c>
      <c r="F447" s="10"/>
      <c r="AB447" s="17"/>
      <c r="AC447" s="17"/>
      <c r="AD447" s="17"/>
      <c r="AE447" s="17"/>
      <c r="AF447" s="17"/>
      <c r="AG447" s="17"/>
      <c r="AH447" s="18"/>
      <c r="AI447" s="17"/>
    </row>
    <row r="448">
      <c r="E448" s="10" t="s">
        <v>1201</v>
      </c>
      <c r="F448" s="10"/>
      <c r="AB448" s="17"/>
      <c r="AC448" s="17"/>
      <c r="AD448" s="17"/>
      <c r="AE448" s="17"/>
      <c r="AF448" s="17"/>
      <c r="AG448" s="17"/>
      <c r="AH448" s="18"/>
      <c r="AI448" s="17"/>
    </row>
    <row r="449">
      <c r="E449" s="10" t="s">
        <v>1201</v>
      </c>
      <c r="F449" s="10"/>
      <c r="AB449" s="17"/>
      <c r="AC449" s="17"/>
      <c r="AD449" s="17"/>
      <c r="AE449" s="17"/>
      <c r="AF449" s="17"/>
      <c r="AG449" s="17"/>
      <c r="AH449" s="18"/>
      <c r="AI449" s="17"/>
    </row>
    <row r="450">
      <c r="E450" s="10" t="s">
        <v>1201</v>
      </c>
      <c r="F450" s="10"/>
      <c r="AB450" s="17"/>
      <c r="AC450" s="17"/>
      <c r="AD450" s="17"/>
      <c r="AE450" s="17"/>
      <c r="AF450" s="17"/>
      <c r="AG450" s="17"/>
      <c r="AH450" s="18"/>
      <c r="AI450" s="17"/>
    </row>
    <row r="451">
      <c r="E451" s="10" t="s">
        <v>1201</v>
      </c>
      <c r="F451" s="10"/>
      <c r="AB451" s="17"/>
      <c r="AC451" s="17"/>
      <c r="AD451" s="17"/>
      <c r="AE451" s="17"/>
      <c r="AF451" s="17"/>
      <c r="AG451" s="17"/>
      <c r="AH451" s="18"/>
      <c r="AI451" s="17"/>
    </row>
    <row r="452">
      <c r="E452" s="10" t="s">
        <v>1201</v>
      </c>
      <c r="F452" s="10"/>
      <c r="AB452" s="17"/>
      <c r="AC452" s="17"/>
      <c r="AD452" s="17"/>
      <c r="AE452" s="17"/>
      <c r="AF452" s="17"/>
      <c r="AG452" s="17"/>
      <c r="AH452" s="18"/>
      <c r="AI452" s="17"/>
    </row>
    <row r="453">
      <c r="E453" s="10" t="s">
        <v>1201</v>
      </c>
      <c r="F453" s="10"/>
      <c r="AB453" s="17"/>
      <c r="AC453" s="17"/>
      <c r="AD453" s="17"/>
      <c r="AE453" s="17"/>
      <c r="AF453" s="17"/>
      <c r="AG453" s="17"/>
      <c r="AH453" s="18"/>
      <c r="AI453" s="17"/>
    </row>
    <row r="454">
      <c r="E454" s="10" t="s">
        <v>1201</v>
      </c>
      <c r="F454" s="10"/>
      <c r="AB454" s="17"/>
      <c r="AC454" s="17"/>
      <c r="AD454" s="17"/>
      <c r="AE454" s="17"/>
      <c r="AF454" s="17"/>
      <c r="AG454" s="17"/>
      <c r="AH454" s="18"/>
      <c r="AI454" s="17"/>
    </row>
    <row r="455">
      <c r="E455" s="10" t="s">
        <v>1201</v>
      </c>
      <c r="F455" s="10"/>
      <c r="AB455" s="17"/>
      <c r="AC455" s="17"/>
      <c r="AD455" s="17"/>
      <c r="AE455" s="17"/>
      <c r="AF455" s="17"/>
      <c r="AG455" s="17"/>
      <c r="AH455" s="18"/>
      <c r="AI455" s="17"/>
    </row>
    <row r="456">
      <c r="E456" s="10" t="s">
        <v>1201</v>
      </c>
      <c r="F456" s="10"/>
      <c r="AB456" s="17"/>
      <c r="AC456" s="17"/>
      <c r="AD456" s="17"/>
      <c r="AE456" s="17"/>
      <c r="AF456" s="17"/>
      <c r="AG456" s="17"/>
      <c r="AH456" s="18"/>
      <c r="AI456" s="17"/>
    </row>
    <row r="457">
      <c r="E457" s="10" t="s">
        <v>1201</v>
      </c>
      <c r="F457" s="10"/>
      <c r="AB457" s="17"/>
      <c r="AC457" s="17"/>
      <c r="AD457" s="17"/>
      <c r="AE457" s="17"/>
      <c r="AF457" s="17"/>
      <c r="AG457" s="17"/>
      <c r="AH457" s="18"/>
      <c r="AI457" s="17"/>
    </row>
    <row r="458">
      <c r="E458" s="10" t="s">
        <v>1201</v>
      </c>
      <c r="F458" s="10"/>
      <c r="AB458" s="17"/>
      <c r="AC458" s="17"/>
      <c r="AD458" s="17"/>
      <c r="AE458" s="17"/>
      <c r="AF458" s="17"/>
      <c r="AG458" s="17"/>
      <c r="AH458" s="18"/>
      <c r="AI458" s="17"/>
    </row>
    <row r="459">
      <c r="E459" s="10" t="s">
        <v>1201</v>
      </c>
      <c r="F459" s="10"/>
      <c r="AB459" s="17"/>
      <c r="AC459" s="17"/>
      <c r="AD459" s="17"/>
      <c r="AE459" s="17"/>
      <c r="AF459" s="17"/>
      <c r="AG459" s="17"/>
      <c r="AH459" s="18"/>
      <c r="AI459" s="17"/>
    </row>
    <row r="460">
      <c r="E460" s="10" t="s">
        <v>1201</v>
      </c>
      <c r="F460" s="10"/>
      <c r="AB460" s="17"/>
      <c r="AC460" s="17"/>
      <c r="AD460" s="17"/>
      <c r="AE460" s="17"/>
      <c r="AF460" s="17"/>
      <c r="AG460" s="17"/>
      <c r="AH460" s="18"/>
      <c r="AI460" s="17"/>
    </row>
    <row r="461">
      <c r="E461" s="10" t="s">
        <v>1201</v>
      </c>
      <c r="F461" s="10"/>
      <c r="AB461" s="17"/>
      <c r="AC461" s="17"/>
      <c r="AD461" s="17"/>
      <c r="AE461" s="17"/>
      <c r="AF461" s="17"/>
      <c r="AG461" s="17"/>
      <c r="AH461" s="18"/>
      <c r="AI461" s="17"/>
    </row>
    <row r="462">
      <c r="E462" s="10" t="s">
        <v>1201</v>
      </c>
      <c r="F462" s="10"/>
      <c r="AB462" s="17"/>
      <c r="AC462" s="17"/>
      <c r="AD462" s="17"/>
      <c r="AE462" s="17"/>
      <c r="AF462" s="17"/>
      <c r="AG462" s="17"/>
      <c r="AH462" s="18"/>
      <c r="AI462" s="17"/>
    </row>
    <row r="463">
      <c r="E463" s="10" t="s">
        <v>1201</v>
      </c>
      <c r="F463" s="10"/>
      <c r="AB463" s="17"/>
      <c r="AC463" s="17"/>
      <c r="AD463" s="17"/>
      <c r="AE463" s="17"/>
      <c r="AF463" s="17"/>
      <c r="AG463" s="17"/>
      <c r="AH463" s="18"/>
      <c r="AI463" s="17"/>
    </row>
    <row r="464">
      <c r="E464" s="10" t="s">
        <v>1201</v>
      </c>
      <c r="F464" s="10"/>
      <c r="AB464" s="17"/>
      <c r="AC464" s="17"/>
      <c r="AD464" s="17"/>
      <c r="AE464" s="17"/>
      <c r="AF464" s="17"/>
      <c r="AG464" s="17"/>
      <c r="AH464" s="18"/>
      <c r="AI464" s="17"/>
    </row>
    <row r="465">
      <c r="E465" s="10" t="s">
        <v>1201</v>
      </c>
      <c r="F465" s="10"/>
      <c r="AB465" s="17"/>
      <c r="AC465" s="17"/>
      <c r="AD465" s="17"/>
      <c r="AE465" s="17"/>
      <c r="AF465" s="17"/>
      <c r="AG465" s="17"/>
      <c r="AH465" s="18"/>
      <c r="AI465" s="17"/>
    </row>
    <row r="466">
      <c r="E466" s="10" t="s">
        <v>1201</v>
      </c>
      <c r="F466" s="10"/>
      <c r="AB466" s="17"/>
      <c r="AC466" s="17"/>
      <c r="AD466" s="17"/>
      <c r="AE466" s="17"/>
      <c r="AF466" s="17"/>
      <c r="AG466" s="17"/>
      <c r="AH466" s="18"/>
      <c r="AI466" s="17"/>
    </row>
    <row r="467">
      <c r="E467" s="10" t="s">
        <v>1201</v>
      </c>
      <c r="F467" s="10"/>
      <c r="AB467" s="17"/>
      <c r="AC467" s="17"/>
      <c r="AD467" s="17"/>
      <c r="AE467" s="17"/>
      <c r="AF467" s="17"/>
      <c r="AG467" s="17"/>
      <c r="AH467" s="18"/>
      <c r="AI467" s="17"/>
    </row>
    <row r="468">
      <c r="E468" s="10" t="s">
        <v>1201</v>
      </c>
      <c r="F468" s="10"/>
      <c r="AB468" s="17"/>
      <c r="AC468" s="17"/>
      <c r="AD468" s="17"/>
      <c r="AE468" s="17"/>
      <c r="AF468" s="17"/>
      <c r="AG468" s="17"/>
      <c r="AH468" s="18"/>
      <c r="AI468" s="17"/>
    </row>
    <row r="469">
      <c r="E469" s="10" t="s">
        <v>1201</v>
      </c>
      <c r="F469" s="10"/>
      <c r="AB469" s="17"/>
      <c r="AC469" s="17"/>
      <c r="AD469" s="17"/>
      <c r="AE469" s="17"/>
      <c r="AF469" s="17"/>
      <c r="AG469" s="17"/>
      <c r="AH469" s="18"/>
      <c r="AI469" s="17"/>
    </row>
    <row r="470">
      <c r="E470" s="10" t="s">
        <v>1201</v>
      </c>
      <c r="F470" s="10"/>
      <c r="AB470" s="17"/>
      <c r="AC470" s="17"/>
      <c r="AD470" s="17"/>
      <c r="AE470" s="17"/>
      <c r="AF470" s="17"/>
      <c r="AG470" s="17"/>
      <c r="AH470" s="18"/>
      <c r="AI470" s="17"/>
    </row>
    <row r="471">
      <c r="E471" s="10" t="s">
        <v>1201</v>
      </c>
      <c r="F471" s="10"/>
      <c r="AB471" s="17"/>
      <c r="AC471" s="17"/>
      <c r="AD471" s="17"/>
      <c r="AE471" s="17"/>
      <c r="AF471" s="17"/>
      <c r="AG471" s="17"/>
      <c r="AH471" s="18"/>
      <c r="AI471" s="17"/>
    </row>
    <row r="472">
      <c r="E472" s="10" t="s">
        <v>1201</v>
      </c>
      <c r="F472" s="10"/>
      <c r="AB472" s="17"/>
      <c r="AC472" s="17"/>
      <c r="AD472" s="17"/>
      <c r="AE472" s="17"/>
      <c r="AF472" s="17"/>
      <c r="AG472" s="17"/>
      <c r="AH472" s="18"/>
      <c r="AI472" s="17"/>
    </row>
    <row r="473">
      <c r="E473" s="10" t="s">
        <v>1201</v>
      </c>
      <c r="F473" s="10"/>
      <c r="AB473" s="17"/>
      <c r="AC473" s="17"/>
      <c r="AD473" s="17"/>
      <c r="AE473" s="17"/>
      <c r="AF473" s="17"/>
      <c r="AG473" s="17"/>
      <c r="AH473" s="18"/>
      <c r="AI473" s="17"/>
    </row>
    <row r="474">
      <c r="E474" s="10" t="s">
        <v>1201</v>
      </c>
      <c r="F474" s="10"/>
      <c r="AB474" s="17"/>
      <c r="AC474" s="17"/>
      <c r="AD474" s="17"/>
      <c r="AE474" s="17"/>
      <c r="AF474" s="17"/>
      <c r="AG474" s="17"/>
      <c r="AH474" s="18"/>
      <c r="AI474" s="17"/>
    </row>
    <row r="475">
      <c r="E475" s="10" t="s">
        <v>1201</v>
      </c>
      <c r="F475" s="10"/>
      <c r="AB475" s="17"/>
      <c r="AC475" s="17"/>
      <c r="AD475" s="17"/>
      <c r="AE475" s="17"/>
      <c r="AF475" s="17"/>
      <c r="AG475" s="17"/>
      <c r="AH475" s="18"/>
      <c r="AI475" s="17"/>
    </row>
    <row r="476">
      <c r="E476" s="10" t="s">
        <v>1201</v>
      </c>
      <c r="F476" s="10"/>
      <c r="AB476" s="17"/>
      <c r="AC476" s="17"/>
      <c r="AD476" s="17"/>
      <c r="AE476" s="17"/>
      <c r="AF476" s="17"/>
      <c r="AG476" s="17"/>
      <c r="AH476" s="18"/>
      <c r="AI476" s="17"/>
    </row>
    <row r="477">
      <c r="E477" s="10" t="s">
        <v>1201</v>
      </c>
      <c r="F477" s="10"/>
      <c r="AB477" s="17"/>
      <c r="AC477" s="17"/>
      <c r="AD477" s="17"/>
      <c r="AE477" s="17"/>
      <c r="AF477" s="17"/>
      <c r="AG477" s="17"/>
      <c r="AH477" s="18"/>
      <c r="AI477" s="17"/>
    </row>
    <row r="478">
      <c r="E478" s="10" t="s">
        <v>1201</v>
      </c>
      <c r="F478" s="10"/>
      <c r="AB478" s="17"/>
      <c r="AC478" s="17"/>
      <c r="AD478" s="17"/>
      <c r="AE478" s="17"/>
      <c r="AF478" s="17"/>
      <c r="AG478" s="17"/>
      <c r="AH478" s="18"/>
      <c r="AI478" s="17"/>
    </row>
    <row r="479">
      <c r="E479" s="10" t="s">
        <v>1201</v>
      </c>
      <c r="F479" s="10"/>
      <c r="AB479" s="17"/>
      <c r="AC479" s="17"/>
      <c r="AD479" s="17"/>
      <c r="AE479" s="17"/>
      <c r="AF479" s="17"/>
      <c r="AG479" s="17"/>
      <c r="AH479" s="18"/>
      <c r="AI479" s="17"/>
    </row>
    <row r="480">
      <c r="E480" s="10" t="s">
        <v>1201</v>
      </c>
      <c r="F480" s="10"/>
      <c r="AB480" s="17"/>
      <c r="AC480" s="17"/>
      <c r="AD480" s="17"/>
      <c r="AE480" s="17"/>
      <c r="AF480" s="17"/>
      <c r="AG480" s="17"/>
      <c r="AH480" s="18"/>
      <c r="AI480" s="17"/>
    </row>
    <row r="481">
      <c r="E481" s="10" t="s">
        <v>1201</v>
      </c>
      <c r="F481" s="10"/>
      <c r="AB481" s="17"/>
      <c r="AC481" s="17"/>
      <c r="AD481" s="17"/>
      <c r="AE481" s="17"/>
      <c r="AF481" s="17"/>
      <c r="AG481" s="17"/>
      <c r="AH481" s="18"/>
      <c r="AI481" s="17"/>
    </row>
    <row r="482">
      <c r="E482" s="10" t="s">
        <v>1201</v>
      </c>
      <c r="F482" s="10"/>
      <c r="AB482" s="17"/>
      <c r="AC482" s="17"/>
      <c r="AD482" s="17"/>
      <c r="AE482" s="17"/>
      <c r="AF482" s="17"/>
      <c r="AG482" s="17"/>
      <c r="AH482" s="18"/>
      <c r="AI482" s="17"/>
    </row>
    <row r="483">
      <c r="E483" s="10" t="s">
        <v>1201</v>
      </c>
      <c r="F483" s="10"/>
      <c r="AB483" s="17"/>
      <c r="AC483" s="17"/>
      <c r="AD483" s="17"/>
      <c r="AE483" s="17"/>
      <c r="AF483" s="17"/>
      <c r="AG483" s="17"/>
      <c r="AH483" s="18"/>
      <c r="AI483" s="17"/>
    </row>
    <row r="484">
      <c r="E484" s="10" t="s">
        <v>1201</v>
      </c>
      <c r="F484" s="10"/>
      <c r="AB484" s="17"/>
      <c r="AC484" s="17"/>
      <c r="AD484" s="17"/>
      <c r="AE484" s="17"/>
      <c r="AF484" s="17"/>
      <c r="AG484" s="17"/>
      <c r="AH484" s="18"/>
      <c r="AI484" s="17"/>
    </row>
    <row r="485">
      <c r="E485" s="10" t="s">
        <v>1201</v>
      </c>
      <c r="F485" s="10"/>
      <c r="AB485" s="17"/>
      <c r="AC485" s="17"/>
      <c r="AD485" s="17"/>
      <c r="AE485" s="17"/>
      <c r="AF485" s="17"/>
      <c r="AG485" s="17"/>
      <c r="AH485" s="18"/>
      <c r="AI485" s="17"/>
    </row>
    <row r="486">
      <c r="E486" s="10" t="s">
        <v>1201</v>
      </c>
      <c r="F486" s="10"/>
      <c r="AB486" s="17"/>
      <c r="AC486" s="17"/>
      <c r="AD486" s="17"/>
      <c r="AE486" s="17"/>
      <c r="AF486" s="17"/>
      <c r="AG486" s="17"/>
      <c r="AH486" s="18"/>
      <c r="AI486" s="17"/>
    </row>
    <row r="487">
      <c r="E487" s="10" t="s">
        <v>1201</v>
      </c>
      <c r="F487" s="10"/>
      <c r="AB487" s="17"/>
      <c r="AC487" s="17"/>
      <c r="AD487" s="17"/>
      <c r="AE487" s="17"/>
      <c r="AF487" s="17"/>
      <c r="AG487" s="17"/>
      <c r="AH487" s="18"/>
      <c r="AI487" s="17"/>
    </row>
    <row r="488">
      <c r="E488" s="10" t="s">
        <v>1201</v>
      </c>
      <c r="F488" s="10"/>
      <c r="AB488" s="17"/>
      <c r="AC488" s="17"/>
      <c r="AD488" s="17"/>
      <c r="AE488" s="17"/>
      <c r="AF488" s="17"/>
      <c r="AG488" s="17"/>
      <c r="AH488" s="18"/>
      <c r="AI488" s="17"/>
    </row>
    <row r="489">
      <c r="E489" s="10" t="s">
        <v>1201</v>
      </c>
      <c r="F489" s="10"/>
      <c r="AB489" s="17"/>
      <c r="AC489" s="17"/>
      <c r="AD489" s="17"/>
      <c r="AE489" s="17"/>
      <c r="AF489" s="17"/>
      <c r="AG489" s="17"/>
      <c r="AH489" s="18"/>
      <c r="AI489" s="17"/>
    </row>
    <row r="490">
      <c r="E490" s="10" t="s">
        <v>1201</v>
      </c>
      <c r="F490" s="10"/>
      <c r="AB490" s="17"/>
      <c r="AC490" s="17"/>
      <c r="AD490" s="17"/>
      <c r="AE490" s="17"/>
      <c r="AF490" s="17"/>
      <c r="AG490" s="17"/>
      <c r="AH490" s="18"/>
      <c r="AI490" s="17"/>
    </row>
    <row r="491">
      <c r="E491" s="10" t="s">
        <v>1201</v>
      </c>
      <c r="F491" s="10"/>
      <c r="AB491" s="17"/>
      <c r="AC491" s="17"/>
      <c r="AD491" s="17"/>
      <c r="AE491" s="17"/>
      <c r="AF491" s="17"/>
      <c r="AG491" s="17"/>
      <c r="AH491" s="18"/>
      <c r="AI491" s="17"/>
    </row>
    <row r="492">
      <c r="E492" s="10" t="s">
        <v>1201</v>
      </c>
      <c r="F492" s="10"/>
      <c r="AB492" s="17"/>
      <c r="AC492" s="17"/>
      <c r="AD492" s="17"/>
      <c r="AE492" s="17"/>
      <c r="AF492" s="17"/>
      <c r="AG492" s="17"/>
      <c r="AH492" s="18"/>
      <c r="AI492" s="17"/>
    </row>
    <row r="493">
      <c r="E493" s="10" t="s">
        <v>1201</v>
      </c>
      <c r="F493" s="10"/>
      <c r="AB493" s="17"/>
      <c r="AC493" s="17"/>
      <c r="AD493" s="17"/>
      <c r="AE493" s="17"/>
      <c r="AF493" s="17"/>
      <c r="AG493" s="17"/>
      <c r="AH493" s="18"/>
      <c r="AI493" s="17"/>
    </row>
    <row r="494">
      <c r="E494" s="10" t="s">
        <v>1201</v>
      </c>
      <c r="F494" s="10"/>
      <c r="AB494" s="17"/>
      <c r="AC494" s="17"/>
      <c r="AD494" s="17"/>
      <c r="AE494" s="17"/>
      <c r="AF494" s="17"/>
      <c r="AG494" s="17"/>
      <c r="AH494" s="18"/>
      <c r="AI494" s="17"/>
    </row>
    <row r="495">
      <c r="E495" s="10" t="s">
        <v>1201</v>
      </c>
      <c r="F495" s="10"/>
      <c r="AB495" s="17"/>
      <c r="AC495" s="17"/>
      <c r="AD495" s="17"/>
      <c r="AE495" s="17"/>
      <c r="AF495" s="17"/>
      <c r="AG495" s="17"/>
      <c r="AH495" s="18"/>
      <c r="AI495" s="17"/>
    </row>
    <row r="496">
      <c r="E496" s="10" t="s">
        <v>1201</v>
      </c>
      <c r="F496" s="10"/>
      <c r="AB496" s="17"/>
      <c r="AC496" s="17"/>
      <c r="AD496" s="17"/>
      <c r="AE496" s="17"/>
      <c r="AF496" s="17"/>
      <c r="AG496" s="17"/>
      <c r="AH496" s="18"/>
      <c r="AI496" s="17"/>
    </row>
    <row r="497">
      <c r="E497" s="10" t="s">
        <v>1201</v>
      </c>
      <c r="F497" s="10"/>
      <c r="AB497" s="17"/>
      <c r="AC497" s="17"/>
      <c r="AD497" s="17"/>
      <c r="AE497" s="17"/>
      <c r="AF497" s="17"/>
      <c r="AG497" s="17"/>
      <c r="AH497" s="18"/>
      <c r="AI497" s="17"/>
    </row>
    <row r="498">
      <c r="E498" s="10" t="s">
        <v>1201</v>
      </c>
      <c r="F498" s="10"/>
      <c r="AB498" s="17"/>
      <c r="AC498" s="17"/>
      <c r="AD498" s="17"/>
      <c r="AE498" s="17"/>
      <c r="AF498" s="17"/>
      <c r="AG498" s="17"/>
      <c r="AH498" s="18"/>
      <c r="AI498" s="17"/>
    </row>
    <row r="499">
      <c r="E499" s="10" t="s">
        <v>1201</v>
      </c>
      <c r="F499" s="10"/>
      <c r="AB499" s="17"/>
      <c r="AC499" s="17"/>
      <c r="AD499" s="17"/>
      <c r="AE499" s="17"/>
      <c r="AF499" s="17"/>
      <c r="AG499" s="17"/>
      <c r="AH499" s="18"/>
      <c r="AI499" s="17"/>
    </row>
    <row r="500">
      <c r="E500" s="10" t="s">
        <v>1201</v>
      </c>
      <c r="F500" s="10"/>
      <c r="AB500" s="17"/>
      <c r="AC500" s="17"/>
      <c r="AD500" s="17"/>
      <c r="AE500" s="17"/>
      <c r="AF500" s="17"/>
      <c r="AG500" s="17"/>
      <c r="AH500" s="18"/>
      <c r="AI500" s="17"/>
    </row>
    <row r="501">
      <c r="E501" s="10" t="s">
        <v>1201</v>
      </c>
      <c r="F501" s="10"/>
      <c r="AB501" s="17"/>
      <c r="AC501" s="17"/>
      <c r="AD501" s="17"/>
      <c r="AE501" s="17"/>
      <c r="AF501" s="17"/>
      <c r="AG501" s="17"/>
      <c r="AH501" s="18"/>
      <c r="AI501" s="17"/>
    </row>
    <row r="502">
      <c r="E502" s="10" t="s">
        <v>1201</v>
      </c>
      <c r="F502" s="10"/>
      <c r="AB502" s="17"/>
      <c r="AC502" s="17"/>
      <c r="AD502" s="17"/>
      <c r="AE502" s="17"/>
      <c r="AF502" s="17"/>
      <c r="AG502" s="17"/>
      <c r="AH502" s="18"/>
      <c r="AI502" s="17"/>
    </row>
    <row r="503">
      <c r="E503" s="10" t="s">
        <v>1201</v>
      </c>
      <c r="F503" s="10"/>
      <c r="AB503" s="17"/>
      <c r="AC503" s="17"/>
      <c r="AD503" s="17"/>
      <c r="AE503" s="17"/>
      <c r="AF503" s="17"/>
      <c r="AG503" s="17"/>
      <c r="AH503" s="18"/>
      <c r="AI503" s="17"/>
    </row>
    <row r="504">
      <c r="E504" s="10" t="s">
        <v>1201</v>
      </c>
      <c r="F504" s="10"/>
      <c r="AB504" s="17"/>
      <c r="AC504" s="17"/>
      <c r="AD504" s="17"/>
      <c r="AE504" s="17"/>
      <c r="AF504" s="17"/>
      <c r="AG504" s="17"/>
      <c r="AH504" s="18"/>
      <c r="AI504" s="17"/>
    </row>
    <row r="505">
      <c r="E505" s="10" t="s">
        <v>1201</v>
      </c>
      <c r="F505" s="10"/>
      <c r="AB505" s="17"/>
      <c r="AC505" s="17"/>
      <c r="AD505" s="17"/>
      <c r="AE505" s="17"/>
      <c r="AF505" s="17"/>
      <c r="AG505" s="17"/>
      <c r="AH505" s="18"/>
      <c r="AI505" s="17"/>
    </row>
    <row r="506">
      <c r="E506" s="10" t="s">
        <v>1201</v>
      </c>
      <c r="F506" s="10"/>
      <c r="AB506" s="17"/>
      <c r="AC506" s="17"/>
      <c r="AD506" s="17"/>
      <c r="AE506" s="17"/>
      <c r="AF506" s="17"/>
      <c r="AG506" s="17"/>
      <c r="AH506" s="18"/>
      <c r="AI506" s="17"/>
    </row>
    <row r="507">
      <c r="E507" s="10" t="s">
        <v>1201</v>
      </c>
      <c r="F507" s="10"/>
      <c r="AB507" s="17"/>
      <c r="AC507" s="17"/>
      <c r="AD507" s="17"/>
      <c r="AE507" s="17"/>
      <c r="AF507" s="17"/>
      <c r="AG507" s="17"/>
      <c r="AH507" s="18"/>
      <c r="AI507" s="17"/>
    </row>
    <row r="508">
      <c r="E508" s="10" t="s">
        <v>1201</v>
      </c>
      <c r="F508" s="10"/>
      <c r="AB508" s="17"/>
      <c r="AC508" s="17"/>
      <c r="AD508" s="17"/>
      <c r="AE508" s="17"/>
      <c r="AF508" s="17"/>
      <c r="AG508" s="17"/>
      <c r="AH508" s="18"/>
      <c r="AI508" s="17"/>
    </row>
    <row r="509">
      <c r="E509" s="10" t="s">
        <v>1201</v>
      </c>
      <c r="F509" s="10"/>
      <c r="AB509" s="17"/>
      <c r="AC509" s="17"/>
      <c r="AD509" s="17"/>
      <c r="AE509" s="17"/>
      <c r="AF509" s="17"/>
      <c r="AG509" s="17"/>
      <c r="AH509" s="18"/>
      <c r="AI509" s="17"/>
    </row>
    <row r="510">
      <c r="E510" s="10" t="s">
        <v>1201</v>
      </c>
      <c r="F510" s="10"/>
      <c r="AB510" s="17"/>
      <c r="AC510" s="17"/>
      <c r="AD510" s="17"/>
      <c r="AE510" s="17"/>
      <c r="AF510" s="17"/>
      <c r="AG510" s="17"/>
      <c r="AH510" s="18"/>
      <c r="AI510" s="17"/>
    </row>
    <row r="511">
      <c r="E511" s="10" t="s">
        <v>1201</v>
      </c>
      <c r="F511" s="10"/>
      <c r="AB511" s="17"/>
      <c r="AC511" s="17"/>
      <c r="AD511" s="17"/>
      <c r="AE511" s="17"/>
      <c r="AF511" s="17"/>
      <c r="AG511" s="17"/>
      <c r="AH511" s="18"/>
      <c r="AI511" s="17"/>
    </row>
    <row r="512">
      <c r="E512" s="10" t="s">
        <v>1201</v>
      </c>
      <c r="F512" s="10"/>
      <c r="AB512" s="17"/>
      <c r="AC512" s="17"/>
      <c r="AD512" s="17"/>
      <c r="AE512" s="17"/>
      <c r="AF512" s="17"/>
      <c r="AG512" s="17"/>
      <c r="AH512" s="18"/>
      <c r="AI512" s="17"/>
    </row>
    <row r="513">
      <c r="E513" s="10" t="s">
        <v>1201</v>
      </c>
      <c r="F513" s="10"/>
      <c r="AB513" s="17"/>
      <c r="AC513" s="17"/>
      <c r="AD513" s="17"/>
      <c r="AE513" s="17"/>
      <c r="AF513" s="17"/>
      <c r="AG513" s="17"/>
      <c r="AH513" s="18"/>
      <c r="AI513" s="17"/>
    </row>
    <row r="514">
      <c r="E514" s="10" t="s">
        <v>1201</v>
      </c>
      <c r="F514" s="10"/>
      <c r="AB514" s="17"/>
      <c r="AC514" s="17"/>
      <c r="AD514" s="17"/>
      <c r="AE514" s="17"/>
      <c r="AF514" s="17"/>
      <c r="AG514" s="17"/>
      <c r="AH514" s="18"/>
      <c r="AI514" s="17"/>
    </row>
    <row r="515">
      <c r="E515" s="10" t="s">
        <v>1201</v>
      </c>
      <c r="F515" s="10"/>
      <c r="AB515" s="17"/>
      <c r="AC515" s="17"/>
      <c r="AD515" s="17"/>
      <c r="AE515" s="17"/>
      <c r="AF515" s="17"/>
      <c r="AG515" s="17"/>
      <c r="AH515" s="18"/>
      <c r="AI515" s="17"/>
    </row>
    <row r="516">
      <c r="E516" s="10" t="s">
        <v>1201</v>
      </c>
      <c r="F516" s="10"/>
      <c r="AB516" s="17"/>
      <c r="AC516" s="17"/>
      <c r="AD516" s="17"/>
      <c r="AE516" s="17"/>
      <c r="AF516" s="17"/>
      <c r="AG516" s="17"/>
      <c r="AH516" s="18"/>
      <c r="AI516" s="17"/>
    </row>
    <row r="517">
      <c r="E517" s="10" t="s">
        <v>1201</v>
      </c>
      <c r="F517" s="10"/>
      <c r="AB517" s="17"/>
      <c r="AC517" s="17"/>
      <c r="AD517" s="17"/>
      <c r="AE517" s="17"/>
      <c r="AF517" s="17"/>
      <c r="AG517" s="17"/>
      <c r="AH517" s="18"/>
      <c r="AI517" s="17"/>
    </row>
    <row r="518">
      <c r="E518" s="10" t="s">
        <v>1201</v>
      </c>
      <c r="F518" s="10"/>
      <c r="AB518" s="17"/>
      <c r="AC518" s="17"/>
      <c r="AD518" s="17"/>
      <c r="AE518" s="17"/>
      <c r="AF518" s="17"/>
      <c r="AG518" s="17"/>
      <c r="AH518" s="18"/>
      <c r="AI518" s="17"/>
    </row>
    <row r="519">
      <c r="E519" s="10" t="s">
        <v>1201</v>
      </c>
      <c r="F519" s="10"/>
      <c r="AB519" s="17"/>
      <c r="AC519" s="17"/>
      <c r="AD519" s="17"/>
      <c r="AE519" s="17"/>
      <c r="AF519" s="17"/>
      <c r="AG519" s="17"/>
      <c r="AH519" s="18"/>
      <c r="AI519" s="17"/>
    </row>
    <row r="520">
      <c r="E520" s="10" t="s">
        <v>1201</v>
      </c>
      <c r="F520" s="10"/>
      <c r="AB520" s="17"/>
      <c r="AC520" s="17"/>
      <c r="AD520" s="17"/>
      <c r="AE520" s="17"/>
      <c r="AF520" s="17"/>
      <c r="AG520" s="17"/>
      <c r="AH520" s="18"/>
      <c r="AI520" s="17"/>
    </row>
    <row r="521">
      <c r="E521" s="10" t="s">
        <v>1201</v>
      </c>
      <c r="F521" s="10"/>
      <c r="AB521" s="17"/>
      <c r="AC521" s="17"/>
      <c r="AD521" s="17"/>
      <c r="AE521" s="17"/>
      <c r="AF521" s="17"/>
      <c r="AG521" s="17"/>
      <c r="AH521" s="18"/>
      <c r="AI521" s="17"/>
    </row>
    <row r="522">
      <c r="E522" s="10" t="s">
        <v>1201</v>
      </c>
      <c r="F522" s="10"/>
      <c r="AB522" s="17"/>
      <c r="AC522" s="17"/>
      <c r="AD522" s="17"/>
      <c r="AE522" s="17"/>
      <c r="AF522" s="17"/>
      <c r="AG522" s="17"/>
      <c r="AH522" s="18"/>
      <c r="AI522" s="17"/>
    </row>
    <row r="523">
      <c r="E523" s="10" t="s">
        <v>1201</v>
      </c>
      <c r="F523" s="10"/>
      <c r="AB523" s="17"/>
      <c r="AC523" s="17"/>
      <c r="AD523" s="17"/>
      <c r="AE523" s="17"/>
      <c r="AF523" s="17"/>
      <c r="AG523" s="17"/>
      <c r="AH523" s="18"/>
      <c r="AI523" s="17"/>
    </row>
    <row r="524">
      <c r="E524" s="10" t="s">
        <v>1201</v>
      </c>
      <c r="F524" s="10"/>
      <c r="AB524" s="17"/>
      <c r="AC524" s="17"/>
      <c r="AD524" s="17"/>
      <c r="AE524" s="17"/>
      <c r="AF524" s="17"/>
      <c r="AG524" s="17"/>
      <c r="AH524" s="18"/>
      <c r="AI524" s="17"/>
    </row>
    <row r="525">
      <c r="E525" s="10" t="s">
        <v>1201</v>
      </c>
      <c r="F525" s="10"/>
      <c r="AB525" s="17"/>
      <c r="AC525" s="17"/>
      <c r="AD525" s="17"/>
      <c r="AE525" s="17"/>
      <c r="AF525" s="17"/>
      <c r="AG525" s="17"/>
      <c r="AH525" s="18"/>
      <c r="AI525" s="17"/>
    </row>
    <row r="526">
      <c r="E526" s="10" t="s">
        <v>1201</v>
      </c>
      <c r="F526" s="10"/>
      <c r="AB526" s="17"/>
      <c r="AC526" s="17"/>
      <c r="AD526" s="17"/>
      <c r="AE526" s="17"/>
      <c r="AF526" s="17"/>
      <c r="AG526" s="17"/>
      <c r="AH526" s="18"/>
      <c r="AI526" s="17"/>
    </row>
    <row r="527">
      <c r="E527" s="10" t="s">
        <v>1201</v>
      </c>
      <c r="F527" s="10"/>
      <c r="AB527" s="17"/>
      <c r="AC527" s="17"/>
      <c r="AD527" s="17"/>
      <c r="AE527" s="17"/>
      <c r="AF527" s="17"/>
      <c r="AG527" s="17"/>
      <c r="AH527" s="18"/>
      <c r="AI527" s="17"/>
    </row>
    <row r="528">
      <c r="E528" s="10" t="s">
        <v>1201</v>
      </c>
      <c r="F528" s="10"/>
      <c r="AB528" s="17"/>
      <c r="AC528" s="17"/>
      <c r="AD528" s="17"/>
      <c r="AE528" s="17"/>
      <c r="AF528" s="17"/>
      <c r="AG528" s="17"/>
      <c r="AH528" s="18"/>
      <c r="AI528" s="17"/>
    </row>
    <row r="529">
      <c r="E529" s="10" t="s">
        <v>1201</v>
      </c>
      <c r="F529" s="10"/>
      <c r="AB529" s="17"/>
      <c r="AC529" s="17"/>
      <c r="AD529" s="17"/>
      <c r="AE529" s="17"/>
      <c r="AF529" s="17"/>
      <c r="AG529" s="17"/>
      <c r="AH529" s="18"/>
      <c r="AI529" s="17"/>
    </row>
    <row r="530">
      <c r="E530" s="10" t="s">
        <v>1201</v>
      </c>
      <c r="F530" s="10"/>
      <c r="AB530" s="17"/>
      <c r="AC530" s="17"/>
      <c r="AD530" s="17"/>
      <c r="AE530" s="17"/>
      <c r="AF530" s="17"/>
      <c r="AG530" s="17"/>
      <c r="AH530" s="18"/>
      <c r="AI530" s="17"/>
    </row>
    <row r="531">
      <c r="E531" s="10" t="s">
        <v>1201</v>
      </c>
      <c r="F531" s="10"/>
      <c r="AB531" s="17"/>
      <c r="AC531" s="17"/>
      <c r="AD531" s="17"/>
      <c r="AE531" s="17"/>
      <c r="AF531" s="17"/>
      <c r="AG531" s="17"/>
      <c r="AH531" s="18"/>
      <c r="AI531" s="17"/>
    </row>
    <row r="532">
      <c r="E532" s="10" t="s">
        <v>1201</v>
      </c>
      <c r="F532" s="10"/>
      <c r="AB532" s="17"/>
      <c r="AC532" s="17"/>
      <c r="AD532" s="17"/>
      <c r="AE532" s="17"/>
      <c r="AF532" s="17"/>
      <c r="AG532" s="17"/>
      <c r="AH532" s="18"/>
      <c r="AI532" s="17"/>
    </row>
    <row r="533">
      <c r="E533" s="10" t="s">
        <v>1201</v>
      </c>
      <c r="F533" s="10"/>
      <c r="AB533" s="17"/>
      <c r="AC533" s="17"/>
      <c r="AD533" s="17"/>
      <c r="AE533" s="17"/>
      <c r="AF533" s="17"/>
      <c r="AG533" s="17"/>
      <c r="AH533" s="18"/>
      <c r="AI533" s="17"/>
    </row>
    <row r="534">
      <c r="E534" s="10" t="s">
        <v>1201</v>
      </c>
      <c r="F534" s="10"/>
      <c r="AB534" s="17"/>
      <c r="AC534" s="17"/>
      <c r="AD534" s="17"/>
      <c r="AE534" s="17"/>
      <c r="AF534" s="17"/>
      <c r="AG534" s="17"/>
      <c r="AH534" s="18"/>
      <c r="AI534" s="17"/>
    </row>
    <row r="535">
      <c r="E535" s="10" t="s">
        <v>1201</v>
      </c>
      <c r="F535" s="10"/>
      <c r="AB535" s="17"/>
      <c r="AC535" s="17"/>
      <c r="AD535" s="17"/>
      <c r="AE535" s="17"/>
      <c r="AF535" s="17"/>
      <c r="AG535" s="17"/>
      <c r="AH535" s="18"/>
      <c r="AI535" s="17"/>
    </row>
    <row r="536">
      <c r="E536" s="10" t="s">
        <v>1201</v>
      </c>
      <c r="F536" s="10"/>
      <c r="AB536" s="17"/>
      <c r="AC536" s="17"/>
      <c r="AD536" s="17"/>
      <c r="AE536" s="17"/>
      <c r="AF536" s="17"/>
      <c r="AG536" s="17"/>
      <c r="AH536" s="18"/>
      <c r="AI536" s="17"/>
    </row>
    <row r="537">
      <c r="E537" s="10" t="s">
        <v>1201</v>
      </c>
      <c r="F537" s="10"/>
      <c r="AB537" s="17"/>
      <c r="AC537" s="17"/>
      <c r="AD537" s="17"/>
      <c r="AE537" s="17"/>
      <c r="AF537" s="17"/>
      <c r="AG537" s="17"/>
      <c r="AH537" s="18"/>
      <c r="AI537" s="17"/>
    </row>
    <row r="538">
      <c r="E538" s="10" t="s">
        <v>1201</v>
      </c>
      <c r="F538" s="10"/>
      <c r="AB538" s="17"/>
      <c r="AC538" s="17"/>
      <c r="AD538" s="17"/>
      <c r="AE538" s="17"/>
      <c r="AF538" s="17"/>
      <c r="AG538" s="17"/>
      <c r="AH538" s="18"/>
      <c r="AI538" s="17"/>
    </row>
    <row r="539">
      <c r="E539" s="10" t="s">
        <v>1201</v>
      </c>
      <c r="F539" s="10"/>
      <c r="AB539" s="17"/>
      <c r="AC539" s="17"/>
      <c r="AD539" s="17"/>
      <c r="AE539" s="17"/>
      <c r="AF539" s="17"/>
      <c r="AG539" s="17"/>
      <c r="AH539" s="18"/>
      <c r="AI539" s="17"/>
    </row>
    <row r="540">
      <c r="E540" s="10" t="s">
        <v>1201</v>
      </c>
      <c r="F540" s="10"/>
      <c r="AB540" s="17"/>
      <c r="AC540" s="17"/>
      <c r="AD540" s="17"/>
      <c r="AE540" s="17"/>
      <c r="AF540" s="17"/>
      <c r="AG540" s="17"/>
      <c r="AH540" s="18"/>
      <c r="AI540" s="17"/>
    </row>
    <row r="541">
      <c r="E541" s="10" t="s">
        <v>1201</v>
      </c>
      <c r="F541" s="10"/>
      <c r="AB541" s="17"/>
      <c r="AC541" s="17"/>
      <c r="AD541" s="17"/>
      <c r="AE541" s="17"/>
      <c r="AF541" s="17"/>
      <c r="AG541" s="17"/>
      <c r="AH541" s="18"/>
      <c r="AI541" s="17"/>
    </row>
    <row r="542">
      <c r="E542" s="10" t="s">
        <v>1201</v>
      </c>
      <c r="F542" s="10"/>
      <c r="AB542" s="17"/>
      <c r="AC542" s="17"/>
      <c r="AD542" s="17"/>
      <c r="AE542" s="17"/>
      <c r="AF542" s="17"/>
      <c r="AG542" s="17"/>
      <c r="AH542" s="18"/>
      <c r="AI542" s="17"/>
    </row>
    <row r="543">
      <c r="E543" s="10" t="s">
        <v>1201</v>
      </c>
      <c r="F543" s="10"/>
      <c r="AB543" s="17"/>
      <c r="AC543" s="17"/>
      <c r="AD543" s="17"/>
      <c r="AE543" s="17"/>
      <c r="AF543" s="17"/>
      <c r="AG543" s="17"/>
      <c r="AH543" s="18"/>
      <c r="AI543" s="17"/>
    </row>
    <row r="544">
      <c r="E544" s="10" t="s">
        <v>1201</v>
      </c>
      <c r="F544" s="10"/>
      <c r="AB544" s="17"/>
      <c r="AC544" s="17"/>
      <c r="AD544" s="17"/>
      <c r="AE544" s="17"/>
      <c r="AF544" s="17"/>
      <c r="AG544" s="17"/>
      <c r="AH544" s="18"/>
      <c r="AI544" s="17"/>
    </row>
    <row r="545">
      <c r="E545" s="10" t="s">
        <v>1201</v>
      </c>
      <c r="F545" s="10"/>
      <c r="AB545" s="17"/>
      <c r="AC545" s="17"/>
      <c r="AD545" s="17"/>
      <c r="AE545" s="17"/>
      <c r="AF545" s="17"/>
      <c r="AG545" s="17"/>
      <c r="AH545" s="18"/>
      <c r="AI545" s="17"/>
    </row>
    <row r="546">
      <c r="E546" s="10" t="s">
        <v>1201</v>
      </c>
      <c r="F546" s="10"/>
      <c r="AB546" s="17"/>
      <c r="AC546" s="17"/>
      <c r="AD546" s="17"/>
      <c r="AE546" s="17"/>
      <c r="AF546" s="17"/>
      <c r="AG546" s="17"/>
      <c r="AH546" s="18"/>
      <c r="AI546" s="17"/>
    </row>
    <row r="547">
      <c r="E547" s="10" t="s">
        <v>1201</v>
      </c>
      <c r="F547" s="10"/>
      <c r="AB547" s="17"/>
      <c r="AC547" s="17"/>
      <c r="AD547" s="17"/>
      <c r="AE547" s="17"/>
      <c r="AF547" s="17"/>
      <c r="AG547" s="17"/>
      <c r="AH547" s="18"/>
      <c r="AI547" s="17"/>
    </row>
    <row r="548">
      <c r="E548" s="10" t="s">
        <v>1201</v>
      </c>
      <c r="F548" s="10"/>
      <c r="AB548" s="17"/>
      <c r="AC548" s="17"/>
      <c r="AD548" s="17"/>
      <c r="AE548" s="17"/>
      <c r="AF548" s="17"/>
      <c r="AG548" s="17"/>
      <c r="AH548" s="18"/>
      <c r="AI548" s="17"/>
    </row>
    <row r="549">
      <c r="E549" s="10" t="s">
        <v>1201</v>
      </c>
      <c r="F549" s="10"/>
      <c r="AB549" s="17"/>
      <c r="AC549" s="17"/>
      <c r="AD549" s="17"/>
      <c r="AE549" s="17"/>
      <c r="AF549" s="17"/>
      <c r="AG549" s="17"/>
      <c r="AH549" s="18"/>
      <c r="AI549" s="17"/>
    </row>
    <row r="550">
      <c r="E550" s="10" t="s">
        <v>1201</v>
      </c>
      <c r="F550" s="10"/>
      <c r="AB550" s="17"/>
      <c r="AC550" s="17"/>
      <c r="AD550" s="17"/>
      <c r="AE550" s="17"/>
      <c r="AF550" s="17"/>
      <c r="AG550" s="17"/>
      <c r="AH550" s="18"/>
      <c r="AI550" s="17"/>
    </row>
    <row r="551">
      <c r="E551" s="10" t="s">
        <v>1201</v>
      </c>
      <c r="F551" s="10"/>
      <c r="AB551" s="17"/>
      <c r="AC551" s="17"/>
      <c r="AD551" s="17"/>
      <c r="AE551" s="17"/>
      <c r="AF551" s="17"/>
      <c r="AG551" s="17"/>
      <c r="AH551" s="18"/>
      <c r="AI551" s="17"/>
    </row>
    <row r="552">
      <c r="E552" s="10" t="s">
        <v>1201</v>
      </c>
      <c r="F552" s="10"/>
      <c r="AB552" s="17"/>
      <c r="AC552" s="17"/>
      <c r="AD552" s="17"/>
      <c r="AE552" s="17"/>
      <c r="AF552" s="17"/>
      <c r="AG552" s="17"/>
      <c r="AH552" s="18"/>
      <c r="AI552" s="17"/>
    </row>
    <row r="553">
      <c r="E553" s="10" t="s">
        <v>1201</v>
      </c>
      <c r="F553" s="10"/>
      <c r="AB553" s="17"/>
      <c r="AC553" s="17"/>
      <c r="AD553" s="17"/>
      <c r="AE553" s="17"/>
      <c r="AF553" s="17"/>
      <c r="AG553" s="17"/>
      <c r="AH553" s="18"/>
      <c r="AI553" s="17"/>
    </row>
    <row r="554">
      <c r="E554" s="10" t="s">
        <v>1201</v>
      </c>
      <c r="F554" s="10"/>
      <c r="AB554" s="17"/>
      <c r="AC554" s="17"/>
      <c r="AD554" s="17"/>
      <c r="AE554" s="17"/>
      <c r="AF554" s="17"/>
      <c r="AG554" s="17"/>
      <c r="AH554" s="18"/>
      <c r="AI554" s="17"/>
    </row>
    <row r="555">
      <c r="E555" s="10" t="s">
        <v>1201</v>
      </c>
      <c r="F555" s="10"/>
      <c r="AB555" s="17"/>
      <c r="AC555" s="17"/>
      <c r="AD555" s="17"/>
      <c r="AE555" s="17"/>
      <c r="AF555" s="17"/>
      <c r="AG555" s="17"/>
      <c r="AH555" s="18"/>
      <c r="AI555" s="17"/>
    </row>
    <row r="556">
      <c r="E556" s="10" t="s">
        <v>1201</v>
      </c>
      <c r="F556" s="10"/>
      <c r="AB556" s="17"/>
      <c r="AC556" s="17"/>
      <c r="AD556" s="17"/>
      <c r="AE556" s="17"/>
      <c r="AF556" s="17"/>
      <c r="AG556" s="17"/>
      <c r="AH556" s="18"/>
      <c r="AI556" s="17"/>
    </row>
    <row r="557">
      <c r="E557" s="10" t="s">
        <v>1201</v>
      </c>
      <c r="F557" s="10"/>
      <c r="AB557" s="17"/>
      <c r="AC557" s="17"/>
      <c r="AD557" s="17"/>
      <c r="AE557" s="17"/>
      <c r="AF557" s="17"/>
      <c r="AG557" s="17"/>
      <c r="AH557" s="18"/>
      <c r="AI557" s="17"/>
    </row>
    <row r="558">
      <c r="E558" s="10" t="s">
        <v>1201</v>
      </c>
      <c r="F558" s="10"/>
      <c r="AB558" s="17"/>
      <c r="AC558" s="17"/>
      <c r="AD558" s="17"/>
      <c r="AE558" s="17"/>
      <c r="AF558" s="17"/>
      <c r="AG558" s="17"/>
      <c r="AH558" s="18"/>
      <c r="AI558" s="17"/>
    </row>
    <row r="559">
      <c r="E559" s="10" t="s">
        <v>1201</v>
      </c>
      <c r="F559" s="10"/>
      <c r="AB559" s="17"/>
      <c r="AC559" s="17"/>
      <c r="AD559" s="17"/>
      <c r="AE559" s="17"/>
      <c r="AF559" s="17"/>
      <c r="AG559" s="17"/>
      <c r="AH559" s="18"/>
      <c r="AI559" s="17"/>
    </row>
    <row r="560">
      <c r="E560" s="10" t="s">
        <v>1201</v>
      </c>
      <c r="F560" s="10"/>
      <c r="AB560" s="17"/>
      <c r="AC560" s="17"/>
      <c r="AD560" s="17"/>
      <c r="AE560" s="17"/>
      <c r="AF560" s="17"/>
      <c r="AG560" s="17"/>
      <c r="AH560" s="18"/>
      <c r="AI560" s="17"/>
    </row>
    <row r="561">
      <c r="E561" s="10" t="s">
        <v>1201</v>
      </c>
      <c r="F561" s="10"/>
      <c r="AB561" s="17"/>
      <c r="AC561" s="17"/>
      <c r="AD561" s="17"/>
      <c r="AE561" s="17"/>
      <c r="AF561" s="17"/>
      <c r="AG561" s="17"/>
      <c r="AH561" s="18"/>
      <c r="AI561" s="17"/>
    </row>
    <row r="562">
      <c r="E562" s="10" t="s">
        <v>1201</v>
      </c>
      <c r="F562" s="10"/>
      <c r="AB562" s="17"/>
      <c r="AC562" s="17"/>
      <c r="AD562" s="17"/>
      <c r="AE562" s="17"/>
      <c r="AF562" s="17"/>
      <c r="AG562" s="17"/>
      <c r="AH562" s="18"/>
      <c r="AI562" s="17"/>
    </row>
    <row r="563">
      <c r="E563" s="10" t="s">
        <v>1201</v>
      </c>
      <c r="F563" s="10"/>
      <c r="AB563" s="17"/>
      <c r="AC563" s="17"/>
      <c r="AD563" s="17"/>
      <c r="AE563" s="17"/>
      <c r="AF563" s="17"/>
      <c r="AG563" s="17"/>
      <c r="AH563" s="18"/>
      <c r="AI563" s="17"/>
    </row>
    <row r="564">
      <c r="E564" s="10" t="s">
        <v>1201</v>
      </c>
      <c r="F564" s="10"/>
      <c r="AB564" s="17"/>
      <c r="AC564" s="17"/>
      <c r="AD564" s="17"/>
      <c r="AE564" s="17"/>
      <c r="AF564" s="17"/>
      <c r="AG564" s="17"/>
      <c r="AH564" s="18"/>
      <c r="AI564" s="17"/>
    </row>
    <row r="565">
      <c r="E565" s="10" t="s">
        <v>1201</v>
      </c>
      <c r="F565" s="10"/>
      <c r="AB565" s="17"/>
      <c r="AC565" s="17"/>
      <c r="AD565" s="17"/>
      <c r="AE565" s="17"/>
      <c r="AF565" s="17"/>
      <c r="AG565" s="17"/>
      <c r="AH565" s="18"/>
      <c r="AI565" s="17"/>
    </row>
    <row r="566">
      <c r="E566" s="10" t="s">
        <v>1201</v>
      </c>
      <c r="F566" s="10"/>
      <c r="AB566" s="17"/>
      <c r="AC566" s="17"/>
      <c r="AD566" s="17"/>
      <c r="AE566" s="17"/>
      <c r="AF566" s="17"/>
      <c r="AG566" s="17"/>
      <c r="AH566" s="18"/>
      <c r="AI566" s="17"/>
    </row>
    <row r="567">
      <c r="E567" s="10" t="s">
        <v>1201</v>
      </c>
      <c r="F567" s="10"/>
      <c r="AB567" s="17"/>
      <c r="AC567" s="17"/>
      <c r="AD567" s="17"/>
      <c r="AE567" s="17"/>
      <c r="AF567" s="17"/>
      <c r="AG567" s="17"/>
      <c r="AH567" s="18"/>
      <c r="AI567" s="17"/>
    </row>
    <row r="568">
      <c r="E568" s="10" t="s">
        <v>1201</v>
      </c>
      <c r="F568" s="10"/>
      <c r="AB568" s="17"/>
      <c r="AC568" s="17"/>
      <c r="AD568" s="17"/>
      <c r="AE568" s="17"/>
      <c r="AF568" s="17"/>
      <c r="AG568" s="17"/>
      <c r="AH568" s="18"/>
      <c r="AI568" s="17"/>
    </row>
    <row r="569">
      <c r="E569" s="10" t="s">
        <v>1201</v>
      </c>
      <c r="F569" s="10"/>
      <c r="AB569" s="17"/>
      <c r="AC569" s="17"/>
      <c r="AD569" s="17"/>
      <c r="AE569" s="17"/>
      <c r="AF569" s="17"/>
      <c r="AG569" s="17"/>
      <c r="AH569" s="18"/>
      <c r="AI569" s="17"/>
    </row>
    <row r="570">
      <c r="E570" s="10" t="s">
        <v>1201</v>
      </c>
      <c r="F570" s="10"/>
      <c r="AB570" s="17"/>
      <c r="AC570" s="17"/>
      <c r="AD570" s="17"/>
      <c r="AE570" s="17"/>
      <c r="AF570" s="17"/>
      <c r="AG570" s="17"/>
      <c r="AH570" s="18"/>
      <c r="AI570" s="17"/>
    </row>
    <row r="571">
      <c r="E571" s="10" t="s">
        <v>1201</v>
      </c>
      <c r="F571" s="10"/>
      <c r="AB571" s="17"/>
      <c r="AC571" s="17"/>
      <c r="AD571" s="17"/>
      <c r="AE571" s="17"/>
      <c r="AF571" s="17"/>
      <c r="AG571" s="17"/>
      <c r="AH571" s="18"/>
      <c r="AI571" s="17"/>
    </row>
    <row r="572">
      <c r="E572" s="10" t="s">
        <v>1201</v>
      </c>
      <c r="F572" s="10"/>
      <c r="AB572" s="17"/>
      <c r="AC572" s="17"/>
      <c r="AD572" s="17"/>
      <c r="AE572" s="17"/>
      <c r="AF572" s="17"/>
      <c r="AG572" s="17"/>
      <c r="AH572" s="18"/>
      <c r="AI572" s="17"/>
    </row>
    <row r="573">
      <c r="E573" s="10" t="s">
        <v>1201</v>
      </c>
      <c r="F573" s="10"/>
      <c r="AB573" s="17"/>
      <c r="AC573" s="17"/>
      <c r="AD573" s="17"/>
      <c r="AE573" s="17"/>
      <c r="AF573" s="17"/>
      <c r="AG573" s="17"/>
      <c r="AH573" s="18"/>
      <c r="AI573" s="17"/>
    </row>
    <row r="574">
      <c r="E574" s="10" t="s">
        <v>1201</v>
      </c>
      <c r="F574" s="10"/>
      <c r="AB574" s="17"/>
      <c r="AC574" s="17"/>
      <c r="AD574" s="17"/>
      <c r="AE574" s="17"/>
      <c r="AF574" s="17"/>
      <c r="AG574" s="17"/>
      <c r="AH574" s="18"/>
      <c r="AI574" s="17"/>
    </row>
    <row r="575">
      <c r="E575" s="10" t="s">
        <v>1201</v>
      </c>
      <c r="F575" s="10"/>
      <c r="AB575" s="17"/>
      <c r="AC575" s="17"/>
      <c r="AD575" s="17"/>
      <c r="AE575" s="17"/>
      <c r="AF575" s="17"/>
      <c r="AG575" s="17"/>
      <c r="AH575" s="18"/>
      <c r="AI575" s="17"/>
    </row>
    <row r="576">
      <c r="E576" s="10" t="s">
        <v>1201</v>
      </c>
      <c r="F576" s="10"/>
      <c r="AB576" s="17"/>
      <c r="AC576" s="17"/>
      <c r="AD576" s="17"/>
      <c r="AE576" s="17"/>
      <c r="AF576" s="17"/>
      <c r="AG576" s="17"/>
      <c r="AH576" s="18"/>
      <c r="AI576" s="17"/>
    </row>
    <row r="577">
      <c r="E577" s="10" t="s">
        <v>1201</v>
      </c>
      <c r="F577" s="10"/>
      <c r="AB577" s="17"/>
      <c r="AC577" s="17"/>
      <c r="AD577" s="17"/>
      <c r="AE577" s="17"/>
      <c r="AF577" s="17"/>
      <c r="AG577" s="17"/>
      <c r="AH577" s="18"/>
      <c r="AI577" s="17"/>
    </row>
    <row r="578">
      <c r="E578" s="10" t="s">
        <v>1201</v>
      </c>
      <c r="F578" s="10"/>
      <c r="AB578" s="17"/>
      <c r="AC578" s="17"/>
      <c r="AD578" s="17"/>
      <c r="AE578" s="17"/>
      <c r="AF578" s="17"/>
      <c r="AG578" s="17"/>
      <c r="AH578" s="18"/>
      <c r="AI578" s="17"/>
    </row>
    <row r="579">
      <c r="E579" s="10" t="s">
        <v>1201</v>
      </c>
      <c r="F579" s="10"/>
      <c r="AB579" s="17"/>
      <c r="AC579" s="17"/>
      <c r="AD579" s="17"/>
      <c r="AE579" s="17"/>
      <c r="AF579" s="17"/>
      <c r="AG579" s="17"/>
      <c r="AH579" s="18"/>
      <c r="AI579" s="17"/>
    </row>
    <row r="580">
      <c r="E580" s="10" t="s">
        <v>1201</v>
      </c>
      <c r="F580" s="10"/>
      <c r="AB580" s="17"/>
      <c r="AC580" s="17"/>
      <c r="AD580" s="17"/>
      <c r="AE580" s="17"/>
      <c r="AF580" s="17"/>
      <c r="AG580" s="17"/>
      <c r="AH580" s="18"/>
      <c r="AI580" s="17"/>
    </row>
    <row r="581">
      <c r="E581" s="10" t="s">
        <v>1201</v>
      </c>
      <c r="F581" s="10"/>
      <c r="AB581" s="17"/>
      <c r="AC581" s="17"/>
      <c r="AD581" s="17"/>
      <c r="AE581" s="17"/>
      <c r="AF581" s="17"/>
      <c r="AG581" s="17"/>
      <c r="AH581" s="18"/>
      <c r="AI581" s="17"/>
    </row>
    <row r="582">
      <c r="E582" s="10" t="s">
        <v>1201</v>
      </c>
      <c r="F582" s="10"/>
      <c r="AB582" s="17"/>
      <c r="AC582" s="17"/>
      <c r="AD582" s="17"/>
      <c r="AE582" s="17"/>
      <c r="AF582" s="17"/>
      <c r="AG582" s="17"/>
      <c r="AH582" s="18"/>
      <c r="AI582" s="17"/>
    </row>
    <row r="583">
      <c r="E583" s="10" t="s">
        <v>1201</v>
      </c>
      <c r="F583" s="10"/>
      <c r="AB583" s="17"/>
      <c r="AC583" s="17"/>
      <c r="AD583" s="17"/>
      <c r="AE583" s="17"/>
      <c r="AF583" s="17"/>
      <c r="AG583" s="17"/>
      <c r="AH583" s="18"/>
      <c r="AI583" s="17"/>
    </row>
    <row r="584">
      <c r="E584" s="10" t="s">
        <v>1201</v>
      </c>
      <c r="F584" s="10"/>
      <c r="AB584" s="17"/>
      <c r="AC584" s="17"/>
      <c r="AD584" s="17"/>
      <c r="AE584" s="17"/>
      <c r="AF584" s="17"/>
      <c r="AG584" s="17"/>
      <c r="AH584" s="18"/>
      <c r="AI584" s="17"/>
    </row>
    <row r="585">
      <c r="E585" s="10" t="s">
        <v>1201</v>
      </c>
      <c r="F585" s="10"/>
      <c r="AB585" s="17"/>
      <c r="AC585" s="17"/>
      <c r="AD585" s="17"/>
      <c r="AE585" s="17"/>
      <c r="AF585" s="17"/>
      <c r="AG585" s="17"/>
      <c r="AH585" s="18"/>
      <c r="AI585" s="17"/>
    </row>
    <row r="586">
      <c r="E586" s="10" t="s">
        <v>1201</v>
      </c>
      <c r="F586" s="10"/>
      <c r="AB586" s="17"/>
      <c r="AC586" s="17"/>
      <c r="AD586" s="17"/>
      <c r="AE586" s="17"/>
      <c r="AF586" s="17"/>
      <c r="AG586" s="17"/>
      <c r="AH586" s="18"/>
      <c r="AI586" s="17"/>
    </row>
    <row r="587">
      <c r="E587" s="10" t="s">
        <v>1201</v>
      </c>
      <c r="F587" s="10"/>
      <c r="AB587" s="17"/>
      <c r="AC587" s="17"/>
      <c r="AD587" s="17"/>
      <c r="AE587" s="17"/>
      <c r="AF587" s="17"/>
      <c r="AG587" s="17"/>
      <c r="AH587" s="18"/>
      <c r="AI587" s="17"/>
    </row>
    <row r="588">
      <c r="E588" s="10" t="s">
        <v>1201</v>
      </c>
      <c r="F588" s="10"/>
      <c r="AB588" s="17"/>
      <c r="AC588" s="17"/>
      <c r="AD588" s="17"/>
      <c r="AE588" s="17"/>
      <c r="AF588" s="17"/>
      <c r="AG588" s="17"/>
      <c r="AH588" s="18"/>
      <c r="AI588" s="17"/>
    </row>
    <row r="589">
      <c r="E589" s="10" t="s">
        <v>1201</v>
      </c>
      <c r="F589" s="10"/>
      <c r="AB589" s="17"/>
      <c r="AC589" s="17"/>
      <c r="AD589" s="17"/>
      <c r="AE589" s="17"/>
      <c r="AF589" s="17"/>
      <c r="AG589" s="17"/>
      <c r="AH589" s="18"/>
      <c r="AI589" s="17"/>
    </row>
    <row r="590">
      <c r="E590" s="10" t="s">
        <v>1201</v>
      </c>
      <c r="F590" s="10"/>
      <c r="AB590" s="17"/>
      <c r="AC590" s="17"/>
      <c r="AD590" s="17"/>
      <c r="AE590" s="17"/>
      <c r="AF590" s="17"/>
      <c r="AG590" s="17"/>
      <c r="AH590" s="18"/>
      <c r="AI590" s="17"/>
    </row>
    <row r="591">
      <c r="E591" s="10" t="s">
        <v>1201</v>
      </c>
      <c r="F591" s="10"/>
      <c r="AB591" s="17"/>
      <c r="AC591" s="17"/>
      <c r="AD591" s="17"/>
      <c r="AE591" s="17"/>
      <c r="AF591" s="17"/>
      <c r="AG591" s="17"/>
      <c r="AH591" s="18"/>
      <c r="AI591" s="17"/>
    </row>
    <row r="592">
      <c r="E592" s="10" t="s">
        <v>1201</v>
      </c>
      <c r="F592" s="10"/>
      <c r="AB592" s="17"/>
      <c r="AC592" s="17"/>
      <c r="AD592" s="17"/>
      <c r="AE592" s="17"/>
      <c r="AF592" s="17"/>
      <c r="AG592" s="17"/>
      <c r="AH592" s="18"/>
      <c r="AI592" s="17"/>
    </row>
    <row r="593">
      <c r="E593" s="10" t="s">
        <v>1201</v>
      </c>
      <c r="F593" s="10"/>
      <c r="AB593" s="17"/>
      <c r="AC593" s="17"/>
      <c r="AD593" s="17"/>
      <c r="AE593" s="17"/>
      <c r="AF593" s="17"/>
      <c r="AG593" s="17"/>
      <c r="AH593" s="18"/>
      <c r="AI593" s="17"/>
    </row>
    <row r="594">
      <c r="E594" s="10" t="s">
        <v>1201</v>
      </c>
      <c r="F594" s="10"/>
      <c r="AB594" s="17"/>
      <c r="AC594" s="17"/>
      <c r="AD594" s="17"/>
      <c r="AE594" s="17"/>
      <c r="AF594" s="17"/>
      <c r="AG594" s="17"/>
      <c r="AH594" s="18"/>
      <c r="AI594" s="17"/>
    </row>
    <row r="595">
      <c r="E595" s="10" t="s">
        <v>1201</v>
      </c>
      <c r="F595" s="10"/>
      <c r="AB595" s="17"/>
      <c r="AC595" s="17"/>
      <c r="AD595" s="17"/>
      <c r="AE595" s="17"/>
      <c r="AF595" s="17"/>
      <c r="AG595" s="17"/>
      <c r="AH595" s="18"/>
      <c r="AI595" s="17"/>
    </row>
    <row r="596">
      <c r="E596" s="10" t="s">
        <v>1201</v>
      </c>
      <c r="F596" s="10"/>
      <c r="AB596" s="17"/>
      <c r="AC596" s="17"/>
      <c r="AD596" s="17"/>
      <c r="AE596" s="17"/>
      <c r="AF596" s="17"/>
      <c r="AG596" s="17"/>
      <c r="AH596" s="18"/>
      <c r="AI596" s="17"/>
    </row>
    <row r="597">
      <c r="E597" s="10" t="s">
        <v>1201</v>
      </c>
      <c r="F597" s="10"/>
      <c r="AB597" s="17"/>
      <c r="AC597" s="17"/>
      <c r="AD597" s="17"/>
      <c r="AE597" s="17"/>
      <c r="AF597" s="17"/>
      <c r="AG597" s="17"/>
      <c r="AH597" s="18"/>
      <c r="AI597" s="17"/>
    </row>
    <row r="598">
      <c r="E598" s="10" t="s">
        <v>1201</v>
      </c>
      <c r="F598" s="10"/>
      <c r="AB598" s="17"/>
      <c r="AC598" s="17"/>
      <c r="AD598" s="17"/>
      <c r="AE598" s="17"/>
      <c r="AF598" s="17"/>
      <c r="AG598" s="17"/>
      <c r="AH598" s="18"/>
      <c r="AI598" s="17"/>
    </row>
    <row r="599">
      <c r="E599" s="10" t="s">
        <v>1201</v>
      </c>
      <c r="F599" s="10"/>
      <c r="AB599" s="17"/>
      <c r="AC599" s="17"/>
      <c r="AD599" s="17"/>
      <c r="AE599" s="17"/>
      <c r="AF599" s="17"/>
      <c r="AG599" s="17"/>
      <c r="AH599" s="18"/>
      <c r="AI599" s="17"/>
    </row>
    <row r="600">
      <c r="E600" s="10" t="s">
        <v>1201</v>
      </c>
      <c r="F600" s="10"/>
      <c r="AB600" s="17"/>
      <c r="AC600" s="17"/>
      <c r="AD600" s="17"/>
      <c r="AE600" s="17"/>
      <c r="AF600" s="17"/>
      <c r="AG600" s="17"/>
      <c r="AH600" s="18"/>
      <c r="AI600" s="17"/>
    </row>
    <row r="601">
      <c r="E601" s="10" t="s">
        <v>1201</v>
      </c>
      <c r="F601" s="10"/>
      <c r="AB601" s="17"/>
      <c r="AC601" s="17"/>
      <c r="AD601" s="17"/>
      <c r="AE601" s="17"/>
      <c r="AF601" s="17"/>
      <c r="AG601" s="17"/>
      <c r="AH601" s="18"/>
      <c r="AI601" s="17"/>
    </row>
    <row r="602">
      <c r="E602" s="10" t="s">
        <v>1201</v>
      </c>
      <c r="F602" s="10"/>
      <c r="AB602" s="17"/>
      <c r="AC602" s="17"/>
      <c r="AD602" s="17"/>
      <c r="AE602" s="17"/>
      <c r="AF602" s="17"/>
      <c r="AG602" s="17"/>
      <c r="AH602" s="18"/>
      <c r="AI602" s="17"/>
    </row>
    <row r="603">
      <c r="E603" s="10" t="s">
        <v>1201</v>
      </c>
      <c r="F603" s="10"/>
      <c r="AB603" s="17"/>
      <c r="AC603" s="17"/>
      <c r="AD603" s="17"/>
      <c r="AE603" s="17"/>
      <c r="AF603" s="17"/>
      <c r="AG603" s="17"/>
      <c r="AH603" s="18"/>
      <c r="AI603" s="17"/>
    </row>
    <row r="604">
      <c r="E604" s="10" t="s">
        <v>1201</v>
      </c>
      <c r="F604" s="10"/>
      <c r="AB604" s="17"/>
      <c r="AC604" s="17"/>
      <c r="AD604" s="17"/>
      <c r="AE604" s="17"/>
      <c r="AF604" s="17"/>
      <c r="AG604" s="17"/>
      <c r="AH604" s="18"/>
      <c r="AI604" s="17"/>
    </row>
    <row r="605">
      <c r="E605" s="10" t="s">
        <v>1201</v>
      </c>
      <c r="F605" s="10"/>
      <c r="AB605" s="17"/>
      <c r="AC605" s="17"/>
      <c r="AD605" s="17"/>
      <c r="AE605" s="17"/>
      <c r="AF605" s="17"/>
      <c r="AG605" s="17"/>
      <c r="AH605" s="18"/>
      <c r="AI605" s="17"/>
    </row>
    <row r="606">
      <c r="E606" s="10" t="s">
        <v>1201</v>
      </c>
      <c r="F606" s="10"/>
      <c r="AB606" s="17"/>
      <c r="AC606" s="17"/>
      <c r="AD606" s="17"/>
      <c r="AE606" s="17"/>
      <c r="AF606" s="17"/>
      <c r="AG606" s="17"/>
      <c r="AH606" s="18"/>
      <c r="AI606" s="17"/>
    </row>
    <row r="607">
      <c r="E607" s="10" t="s">
        <v>1201</v>
      </c>
      <c r="F607" s="10"/>
      <c r="AB607" s="17"/>
      <c r="AC607" s="17"/>
      <c r="AD607" s="17"/>
      <c r="AE607" s="17"/>
      <c r="AF607" s="17"/>
      <c r="AG607" s="17"/>
      <c r="AH607" s="18"/>
      <c r="AI607" s="17"/>
    </row>
    <row r="608">
      <c r="E608" s="10" t="s">
        <v>1201</v>
      </c>
      <c r="F608" s="10"/>
      <c r="AB608" s="17"/>
      <c r="AC608" s="17"/>
      <c r="AD608" s="17"/>
      <c r="AE608" s="17"/>
      <c r="AF608" s="17"/>
      <c r="AG608" s="17"/>
      <c r="AH608" s="18"/>
      <c r="AI608" s="17"/>
    </row>
    <row r="609">
      <c r="E609" s="10" t="s">
        <v>1201</v>
      </c>
      <c r="F609" s="10"/>
      <c r="AB609" s="17"/>
      <c r="AC609" s="17"/>
      <c r="AD609" s="17"/>
      <c r="AE609" s="17"/>
      <c r="AF609" s="17"/>
      <c r="AG609" s="17"/>
      <c r="AH609" s="18"/>
      <c r="AI609" s="17"/>
    </row>
    <row r="610">
      <c r="E610" s="10" t="s">
        <v>1201</v>
      </c>
      <c r="F610" s="10"/>
      <c r="AB610" s="17"/>
      <c r="AC610" s="17"/>
      <c r="AD610" s="17"/>
      <c r="AE610" s="17"/>
      <c r="AF610" s="17"/>
      <c r="AG610" s="17"/>
      <c r="AH610" s="18"/>
      <c r="AI610" s="17"/>
    </row>
  </sheetData>
  <autoFilter ref="$A$1:$P$2"/>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AF14"/>
    <hyperlink r:id="rId15" ref="V15"/>
    <hyperlink r:id="rId16" ref="V16"/>
    <hyperlink r:id="rId17" ref="V17"/>
    <hyperlink r:id="rId18" ref="V18"/>
    <hyperlink r:id="rId19" ref="V19"/>
    <hyperlink r:id="rId20" ref="V20"/>
    <hyperlink r:id="rId21" ref="V21"/>
    <hyperlink r:id="rId22" ref="V22"/>
    <hyperlink r:id="rId23" ref="V23"/>
    <hyperlink r:id="rId24" ref="V24"/>
    <hyperlink r:id="rId25" ref="V25"/>
    <hyperlink r:id="rId26" ref="V26"/>
    <hyperlink r:id="rId27" ref="V27"/>
    <hyperlink r:id="rId28" ref="V28"/>
    <hyperlink r:id="rId29" ref="V29"/>
    <hyperlink r:id="rId30" ref="V30"/>
    <hyperlink r:id="rId31" ref="V31"/>
    <hyperlink r:id="rId32" ref="V32"/>
    <hyperlink r:id="rId33" ref="V33"/>
    <hyperlink r:id="rId34" ref="V34"/>
    <hyperlink r:id="rId35" ref="V35"/>
    <hyperlink r:id="rId36" ref="V36"/>
    <hyperlink r:id="rId37" ref="V37"/>
    <hyperlink r:id="rId38" ref="V38"/>
    <hyperlink r:id="rId39" ref="V39"/>
    <hyperlink r:id="rId40" ref="V40"/>
    <hyperlink r:id="rId41" ref="V41"/>
    <hyperlink r:id="rId42" ref="V42"/>
    <hyperlink r:id="rId43" ref="V43"/>
    <hyperlink r:id="rId44" ref="V44"/>
    <hyperlink r:id="rId45" ref="V45"/>
    <hyperlink r:id="rId46" ref="V46"/>
    <hyperlink r:id="rId47" ref="V47"/>
    <hyperlink r:id="rId48" ref="V48"/>
    <hyperlink r:id="rId49" ref="V49"/>
    <hyperlink r:id="rId50" ref="V50"/>
    <hyperlink r:id="rId51" ref="V51"/>
    <hyperlink r:id="rId52" ref="V52"/>
    <hyperlink r:id="rId53" ref="V53"/>
    <hyperlink r:id="rId54" ref="V54"/>
    <hyperlink r:id="rId55" ref="V55"/>
    <hyperlink r:id="rId56" ref="V56"/>
    <hyperlink r:id="rId57" ref="V57"/>
    <hyperlink r:id="rId58" ref="V58"/>
    <hyperlink r:id="rId59" ref="V59"/>
    <hyperlink r:id="rId60" ref="V60"/>
    <hyperlink r:id="rId61" ref="V61"/>
    <hyperlink r:id="rId62" ref="V62"/>
    <hyperlink r:id="rId63" ref="V63"/>
    <hyperlink r:id="rId64" ref="V64"/>
    <hyperlink r:id="rId65" ref="V65"/>
    <hyperlink r:id="rId66" ref="V66"/>
    <hyperlink r:id="rId67" ref="V67"/>
    <hyperlink r:id="rId68" ref="V68"/>
    <hyperlink r:id="rId69" ref="V69"/>
    <hyperlink r:id="rId70" ref="V70"/>
    <hyperlink r:id="rId71" ref="V71"/>
    <hyperlink r:id="rId72" ref="V72"/>
    <hyperlink r:id="rId73" ref="V73"/>
    <hyperlink r:id="rId74" ref="V74"/>
    <hyperlink r:id="rId75" ref="V75"/>
    <hyperlink r:id="rId76" ref="V76"/>
    <hyperlink r:id="rId77" ref="V77"/>
    <hyperlink r:id="rId78" ref="V78"/>
    <hyperlink r:id="rId79" ref="V79"/>
    <hyperlink r:id="rId80" ref="V80"/>
    <hyperlink r:id="rId81" ref="V81"/>
    <hyperlink r:id="rId82" ref="V82"/>
    <hyperlink r:id="rId83" ref="V83"/>
    <hyperlink r:id="rId84" ref="V84"/>
    <hyperlink r:id="rId85" ref="V85"/>
    <hyperlink r:id="rId86" ref="V86"/>
    <hyperlink r:id="rId87" ref="V87"/>
    <hyperlink r:id="rId88" ref="V88"/>
    <hyperlink r:id="rId89" ref="V89"/>
    <hyperlink r:id="rId90" ref="V90"/>
    <hyperlink r:id="rId91" ref="V91"/>
    <hyperlink r:id="rId92" ref="V92"/>
    <hyperlink r:id="rId93" ref="V93"/>
    <hyperlink r:id="rId94" ref="V94"/>
    <hyperlink r:id="rId95" ref="V95"/>
    <hyperlink r:id="rId96" ref="V96"/>
    <hyperlink r:id="rId97" ref="V97"/>
    <hyperlink r:id="rId98" ref="V98"/>
    <hyperlink r:id="rId99" ref="V99"/>
    <hyperlink r:id="rId100" ref="V100"/>
    <hyperlink r:id="rId101" ref="V101"/>
    <hyperlink r:id="rId102" ref="V102"/>
    <hyperlink r:id="rId103" ref="V103"/>
    <hyperlink r:id="rId104" ref="V104"/>
    <hyperlink r:id="rId105" ref="V105"/>
    <hyperlink r:id="rId106" ref="V106"/>
    <hyperlink r:id="rId107" ref="V107"/>
    <hyperlink r:id="rId108" ref="V108"/>
    <hyperlink r:id="rId109" ref="V109"/>
    <hyperlink r:id="rId110" ref="V110"/>
    <hyperlink r:id="rId111" ref="V111"/>
    <hyperlink r:id="rId112" ref="V112"/>
    <hyperlink r:id="rId113" ref="V113"/>
    <hyperlink r:id="rId114" ref="V114"/>
    <hyperlink r:id="rId115" ref="V115"/>
    <hyperlink r:id="rId116" ref="V116"/>
    <hyperlink r:id="rId117" ref="V117"/>
    <hyperlink r:id="rId118" ref="V118"/>
    <hyperlink r:id="rId119" ref="V119"/>
    <hyperlink r:id="rId120" ref="V120"/>
    <hyperlink r:id="rId121" ref="V121"/>
    <hyperlink r:id="rId122" ref="V122"/>
    <hyperlink r:id="rId123" ref="V123"/>
    <hyperlink r:id="rId124" ref="V124"/>
    <hyperlink r:id="rId125" ref="AF127"/>
    <hyperlink r:id="rId126" ref="AF128"/>
    <hyperlink r:id="rId127" ref="AF129"/>
    <hyperlink r:id="rId128" ref="AF130"/>
    <hyperlink r:id="rId129" ref="AF131"/>
    <hyperlink r:id="rId130" ref="AF132"/>
    <hyperlink r:id="rId131" ref="AF133"/>
    <hyperlink r:id="rId132" ref="AF134"/>
    <hyperlink r:id="rId133" ref="AF135"/>
    <hyperlink r:id="rId134" ref="AF136"/>
    <hyperlink r:id="rId135" ref="AF137"/>
    <hyperlink r:id="rId136" ref="AF138"/>
    <hyperlink r:id="rId137" ref="AF139"/>
    <hyperlink r:id="rId138" ref="AF140"/>
    <hyperlink r:id="rId139" ref="AF141"/>
    <hyperlink r:id="rId140" ref="AF142"/>
    <hyperlink r:id="rId141" ref="AF143"/>
    <hyperlink r:id="rId142" ref="AF144"/>
    <hyperlink r:id="rId143" ref="AF145"/>
    <hyperlink r:id="rId144" ref="AF146"/>
    <hyperlink r:id="rId145" ref="AF147"/>
    <hyperlink r:id="rId146" ref="AF148"/>
    <hyperlink r:id="rId147" ref="AF149"/>
    <hyperlink r:id="rId148" ref="AF150"/>
    <hyperlink r:id="rId149" ref="AF151"/>
    <hyperlink r:id="rId150" ref="AF152"/>
    <hyperlink r:id="rId151" ref="AF153"/>
    <hyperlink r:id="rId152" ref="AF154"/>
    <hyperlink r:id="rId153" ref="AF155"/>
    <hyperlink r:id="rId154" ref="AF156"/>
    <hyperlink r:id="rId155" ref="AF157"/>
    <hyperlink r:id="rId156" ref="AF158"/>
    <hyperlink r:id="rId157" ref="AF159"/>
    <hyperlink r:id="rId158" ref="AF160"/>
    <hyperlink r:id="rId159" ref="AF161"/>
    <hyperlink r:id="rId160" ref="AF162"/>
    <hyperlink r:id="rId161" ref="AF163"/>
    <hyperlink r:id="rId162" ref="AF164"/>
    <hyperlink r:id="rId163" ref="AF165"/>
    <hyperlink r:id="rId164" ref="AF166"/>
    <hyperlink r:id="rId165" ref="AF167"/>
    <hyperlink r:id="rId166" ref="AF168"/>
    <hyperlink r:id="rId167" ref="AF171"/>
    <hyperlink r:id="rId168" ref="AF174"/>
    <hyperlink r:id="rId169" ref="AF177"/>
    <hyperlink r:id="rId170" ref="AF178"/>
    <hyperlink r:id="rId171" ref="AF182"/>
    <hyperlink r:id="rId172" ref="AF185"/>
    <hyperlink r:id="rId173" ref="AF186"/>
    <hyperlink r:id="rId174" ref="AF187"/>
    <hyperlink r:id="rId175" ref="AF192"/>
    <hyperlink r:id="rId176" ref="AF196"/>
    <hyperlink r:id="rId177" ref="AF197"/>
    <hyperlink r:id="rId178" ref="AF200"/>
    <hyperlink r:id="rId179" ref="AF202"/>
    <hyperlink r:id="rId180" ref="AF204"/>
    <hyperlink r:id="rId181" ref="AF208"/>
    <hyperlink r:id="rId182" ref="AF209"/>
    <hyperlink r:id="rId183" ref="AF212"/>
    <hyperlink r:id="rId184" ref="AF213"/>
    <hyperlink r:id="rId185" ref="AF216"/>
    <hyperlink r:id="rId186" ref="AF217"/>
    <hyperlink r:id="rId187" ref="AF218"/>
    <hyperlink r:id="rId188" ref="AF222"/>
    <hyperlink r:id="rId189" ref="AF223"/>
    <hyperlink r:id="rId190" ref="AF226"/>
    <hyperlink r:id="rId191" ref="AF227"/>
    <hyperlink r:id="rId192" ref="AF228"/>
    <hyperlink r:id="rId193" ref="AF229"/>
    <hyperlink r:id="rId194" ref="AF230"/>
    <hyperlink r:id="rId195" ref="AF232"/>
    <hyperlink r:id="rId196" ref="AF233"/>
    <hyperlink r:id="rId197" ref="AF234"/>
    <hyperlink r:id="rId198" ref="AF235"/>
    <hyperlink r:id="rId199" ref="AF236"/>
    <hyperlink r:id="rId200" ref="AF237"/>
    <hyperlink r:id="rId201" ref="AF238"/>
    <hyperlink r:id="rId202" ref="AF239"/>
    <hyperlink r:id="rId203" ref="AF240"/>
    <hyperlink r:id="rId204" ref="AF241"/>
    <hyperlink r:id="rId205" ref="AF242"/>
    <hyperlink r:id="rId206" ref="AF243"/>
    <hyperlink r:id="rId207" ref="AF244"/>
    <hyperlink r:id="rId208" ref="AF245"/>
    <hyperlink r:id="rId209" ref="AF246"/>
    <hyperlink r:id="rId210" ref="AF247"/>
    <hyperlink r:id="rId211" ref="AF248"/>
  </hyperlinks>
  <drawing r:id="rId2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6" width="18.88"/>
    <col customWidth="1" min="7" max="7" width="33.38"/>
    <col customWidth="1" min="8" max="8" width="31.25"/>
    <col customWidth="1" min="9" max="9" width="27.13"/>
    <col customWidth="1" min="10" max="10" width="27.5"/>
    <col customWidth="1" min="11" max="11" width="25.38"/>
    <col customWidth="1" min="12" max="12" width="32.63"/>
    <col customWidth="1" min="13" max="13" width="33.75"/>
    <col customWidth="1" min="14" max="14" width="34.88"/>
    <col customWidth="1" min="15" max="15" width="24.63"/>
    <col customWidth="1" min="16" max="16" width="29.0"/>
    <col customWidth="1" min="17" max="17" width="25.38"/>
    <col customWidth="1" min="18" max="18" width="31.88"/>
    <col customWidth="1" min="19" max="19" width="30.88"/>
    <col customWidth="1" min="20" max="20" width="26.75"/>
    <col customWidth="1" min="21" max="21" width="25.38"/>
    <col customWidth="1" min="22" max="22" width="27.5"/>
    <col customWidth="1" min="23" max="23" width="29.75"/>
    <col customWidth="1" min="24" max="24" width="26.75"/>
    <col customWidth="1" min="25" max="25" width="33.38"/>
    <col customWidth="1" min="26" max="26" width="30.63"/>
    <col customWidth="1" min="27" max="27" width="27.88"/>
    <col customWidth="1" min="28" max="28" width="28.38"/>
    <col customWidth="1" min="29" max="29" width="26.13"/>
    <col customWidth="1" min="30" max="30" width="27.63"/>
    <col customWidth="1" min="31" max="31" width="30.88"/>
    <col customWidth="1" min="32" max="32" width="31.25"/>
    <col customWidth="1" min="33" max="33" width="29.0"/>
    <col customWidth="1" min="34" max="34" width="21.25"/>
    <col customWidth="1" min="35" max="36" width="25.38"/>
    <col customWidth="1" min="37" max="37" width="32.38"/>
    <col customWidth="1" min="38" max="38" width="30.88"/>
    <col customWidth="1" min="39" max="39" width="25.63"/>
    <col customWidth="1" min="40" max="40" width="27.25"/>
    <col customWidth="1" min="41" max="41" width="26.13"/>
    <col customWidth="1" min="42" max="42" width="22.75"/>
    <col customWidth="1" min="43" max="43" width="28.63"/>
    <col customWidth="1" min="44" max="44" width="30.5"/>
    <col customWidth="1" min="45" max="45" width="28.25"/>
    <col customWidth="1" min="46" max="46" width="29.0"/>
    <col customWidth="1" min="47" max="47" width="26.13"/>
    <col customWidth="1" min="48" max="48" width="26.75"/>
    <col customWidth="1" min="49" max="49" width="32.38"/>
    <col customWidth="1" min="50" max="50" width="30.88"/>
    <col customWidth="1" min="51" max="51" width="29.38"/>
    <col customWidth="1" min="52" max="52" width="29.0"/>
    <col customWidth="1" min="53" max="53" width="30.13"/>
    <col customWidth="1" min="54" max="54" width="28.63"/>
    <col customWidth="1" min="55" max="55" width="36.75"/>
    <col customWidth="1" min="56" max="56" width="36.63"/>
    <col customWidth="1" min="57" max="57" width="27.5"/>
    <col customWidth="1" min="58" max="58" width="25.0"/>
    <col customWidth="1" min="59" max="59" width="27.5"/>
    <col customWidth="1" min="60" max="60" width="28.63"/>
    <col customWidth="1" min="61" max="61" width="34.13"/>
    <col customWidth="1" min="62" max="62" width="30.5"/>
    <col customWidth="1" min="63" max="63" width="25.38"/>
    <col customWidth="1" min="64" max="64" width="29.38"/>
    <col customWidth="1" min="65" max="65" width="29.0"/>
    <col customWidth="1" min="66" max="66" width="31.25"/>
    <col customWidth="1" min="67" max="67" width="33.13"/>
    <col customWidth="1" min="68" max="68" width="35.25"/>
    <col customWidth="1" min="69" max="69" width="29.75"/>
    <col customWidth="1" min="70" max="70" width="32.63"/>
    <col customWidth="1" min="71" max="71" width="33.0"/>
    <col customWidth="1" min="72" max="72" width="29.75"/>
    <col customWidth="1" min="73" max="73" width="33.75"/>
    <col customWidth="1" min="74" max="74" width="34.88"/>
    <col customWidth="1" min="75" max="75" width="33.0"/>
    <col customWidth="1" min="76" max="76" width="34.5"/>
    <col customWidth="1" min="77" max="77" width="32.38"/>
    <col customWidth="1" min="78" max="78" width="32.75"/>
    <col customWidth="1" min="79" max="84" width="18.88"/>
  </cols>
  <sheetData>
    <row r="1" ht="22.5" customHeight="1">
      <c r="A1" s="11" t="s">
        <v>84</v>
      </c>
      <c r="B1" s="11" t="s">
        <v>85</v>
      </c>
      <c r="C1" s="11" t="s">
        <v>86</v>
      </c>
      <c r="D1" s="11" t="s">
        <v>87</v>
      </c>
      <c r="E1" s="11" t="s">
        <v>88</v>
      </c>
      <c r="F1" s="11" t="s">
        <v>89</v>
      </c>
      <c r="G1" s="11" t="s">
        <v>90</v>
      </c>
      <c r="H1" s="11" t="s">
        <v>91</v>
      </c>
      <c r="I1" s="11" t="s">
        <v>92</v>
      </c>
      <c r="J1" s="11" t="s">
        <v>93</v>
      </c>
      <c r="K1" s="11" t="s">
        <v>94</v>
      </c>
      <c r="L1" s="11" t="s">
        <v>95</v>
      </c>
      <c r="M1" s="11" t="s">
        <v>96</v>
      </c>
      <c r="N1" s="11" t="s">
        <v>97</v>
      </c>
      <c r="O1" s="11" t="s">
        <v>98</v>
      </c>
      <c r="P1" s="11" t="s">
        <v>99</v>
      </c>
      <c r="Q1" s="11" t="s">
        <v>100</v>
      </c>
      <c r="R1" s="11" t="s">
        <v>101</v>
      </c>
      <c r="S1" s="11" t="s">
        <v>102</v>
      </c>
      <c r="T1" s="11" t="s">
        <v>103</v>
      </c>
      <c r="U1" s="11" t="s">
        <v>104</v>
      </c>
      <c r="V1" s="11" t="s">
        <v>105</v>
      </c>
      <c r="W1" s="11" t="s">
        <v>106</v>
      </c>
      <c r="X1" s="11" t="s">
        <v>107</v>
      </c>
      <c r="Y1" s="11" t="s">
        <v>108</v>
      </c>
      <c r="Z1" s="11" t="s">
        <v>109</v>
      </c>
      <c r="AA1" s="11" t="s">
        <v>110</v>
      </c>
      <c r="AB1" s="11" t="s">
        <v>111</v>
      </c>
      <c r="AC1" s="11" t="s">
        <v>112</v>
      </c>
      <c r="AD1" s="11" t="s">
        <v>113</v>
      </c>
      <c r="AE1" s="11" t="s">
        <v>114</v>
      </c>
      <c r="AF1" s="11" t="s">
        <v>115</v>
      </c>
      <c r="AG1" s="11" t="s">
        <v>116</v>
      </c>
      <c r="AH1" s="11" t="s">
        <v>117</v>
      </c>
      <c r="AI1" s="11" t="s">
        <v>118</v>
      </c>
      <c r="AJ1" s="11" t="s">
        <v>119</v>
      </c>
      <c r="AK1" s="11" t="s">
        <v>120</v>
      </c>
      <c r="AL1" s="11" t="s">
        <v>121</v>
      </c>
      <c r="AM1" s="11" t="s">
        <v>122</v>
      </c>
      <c r="AN1" s="11" t="s">
        <v>123</v>
      </c>
      <c r="AO1" s="11" t="s">
        <v>124</v>
      </c>
      <c r="AP1" s="11" t="s">
        <v>125</v>
      </c>
      <c r="AQ1" s="11" t="s">
        <v>126</v>
      </c>
      <c r="AR1" s="11" t="s">
        <v>127</v>
      </c>
      <c r="AS1" s="11" t="s">
        <v>128</v>
      </c>
      <c r="AT1" s="11" t="s">
        <v>129</v>
      </c>
      <c r="AU1" s="11" t="s">
        <v>130</v>
      </c>
      <c r="AV1" s="11" t="s">
        <v>131</v>
      </c>
      <c r="AW1" s="11" t="s">
        <v>132</v>
      </c>
      <c r="AX1" s="11" t="s">
        <v>133</v>
      </c>
      <c r="AY1" s="11" t="s">
        <v>134</v>
      </c>
      <c r="AZ1" s="11" t="s">
        <v>135</v>
      </c>
      <c r="BA1" s="11" t="s">
        <v>136</v>
      </c>
      <c r="BB1" s="11" t="s">
        <v>137</v>
      </c>
      <c r="BC1" s="11" t="s">
        <v>138</v>
      </c>
      <c r="BD1" s="11" t="s">
        <v>139</v>
      </c>
      <c r="BE1" s="11" t="s">
        <v>140</v>
      </c>
      <c r="BF1" s="11" t="s">
        <v>141</v>
      </c>
      <c r="BG1" s="11" t="s">
        <v>142</v>
      </c>
      <c r="BH1" s="11" t="s">
        <v>143</v>
      </c>
      <c r="BI1" s="11" t="s">
        <v>144</v>
      </c>
      <c r="BJ1" s="11" t="s">
        <v>145</v>
      </c>
      <c r="BK1" s="11" t="s">
        <v>146</v>
      </c>
      <c r="BL1" s="11" t="s">
        <v>147</v>
      </c>
      <c r="BM1" s="11" t="s">
        <v>148</v>
      </c>
      <c r="BN1" s="11" t="s">
        <v>149</v>
      </c>
      <c r="BO1" s="11" t="s">
        <v>150</v>
      </c>
      <c r="BP1" s="11" t="s">
        <v>151</v>
      </c>
      <c r="BQ1" s="11" t="s">
        <v>152</v>
      </c>
      <c r="BR1" s="11" t="s">
        <v>153</v>
      </c>
      <c r="BS1" s="11" t="s">
        <v>154</v>
      </c>
      <c r="BT1" s="11" t="s">
        <v>155</v>
      </c>
      <c r="BU1" s="11" t="s">
        <v>156</v>
      </c>
      <c r="BV1" s="11" t="s">
        <v>157</v>
      </c>
      <c r="BW1" s="11" t="s">
        <v>158</v>
      </c>
      <c r="BX1" s="11" t="s">
        <v>159</v>
      </c>
      <c r="BY1" s="11" t="s">
        <v>160</v>
      </c>
      <c r="BZ1" s="11" t="s">
        <v>161</v>
      </c>
    </row>
    <row r="2" ht="22.5" customHeight="1">
      <c r="A2" s="13">
        <v>46246.3722856713</v>
      </c>
      <c r="B2" s="14" t="s">
        <v>162</v>
      </c>
      <c r="C2" s="14" t="s">
        <v>163</v>
      </c>
      <c r="D2" s="14">
        <v>2025.0</v>
      </c>
      <c r="E2" s="14" t="s">
        <v>164</v>
      </c>
      <c r="F2" s="14" t="s">
        <v>165</v>
      </c>
      <c r="G2" s="14">
        <v>5.0</v>
      </c>
      <c r="H2" s="14">
        <v>5.0</v>
      </c>
      <c r="I2" s="14">
        <v>5.0</v>
      </c>
      <c r="J2" s="14">
        <v>5.0</v>
      </c>
      <c r="K2" s="14">
        <v>5.0</v>
      </c>
      <c r="L2" s="14">
        <v>5.0</v>
      </c>
      <c r="M2" s="14">
        <v>5.0</v>
      </c>
      <c r="N2" s="14">
        <v>5.0</v>
      </c>
      <c r="O2" s="14">
        <v>5.0</v>
      </c>
      <c r="P2" s="14">
        <v>5.0</v>
      </c>
      <c r="Q2" s="14">
        <v>5.0</v>
      </c>
      <c r="R2" s="14">
        <v>5.0</v>
      </c>
      <c r="S2" s="14">
        <v>5.0</v>
      </c>
      <c r="T2" s="14">
        <v>5.0</v>
      </c>
      <c r="U2" s="14">
        <v>5.0</v>
      </c>
      <c r="V2" s="14">
        <v>5.0</v>
      </c>
      <c r="W2" s="14">
        <v>5.0</v>
      </c>
      <c r="X2" s="14">
        <v>5.0</v>
      </c>
      <c r="Y2" s="14">
        <v>5.0</v>
      </c>
      <c r="Z2" s="14">
        <v>5.0</v>
      </c>
      <c r="AA2" s="14" t="s">
        <v>166</v>
      </c>
      <c r="AB2" s="14">
        <v>5.0</v>
      </c>
      <c r="AC2" s="14">
        <v>5.0</v>
      </c>
      <c r="AD2" s="14">
        <v>5.0</v>
      </c>
      <c r="AE2" s="14">
        <v>5.0</v>
      </c>
      <c r="AF2" s="14">
        <v>5.0</v>
      </c>
      <c r="AG2" s="14">
        <v>5.0</v>
      </c>
      <c r="AH2" s="14">
        <v>5.0</v>
      </c>
      <c r="AI2" s="14">
        <v>5.0</v>
      </c>
      <c r="AJ2" s="14">
        <v>5.0</v>
      </c>
      <c r="AK2" s="14">
        <v>5.0</v>
      </c>
      <c r="AL2" s="14">
        <v>5.0</v>
      </c>
      <c r="AM2" s="14">
        <v>5.0</v>
      </c>
      <c r="AN2" s="14">
        <v>5.0</v>
      </c>
      <c r="AO2" s="14">
        <v>5.0</v>
      </c>
      <c r="AP2" s="14">
        <v>5.0</v>
      </c>
      <c r="AQ2" s="14">
        <v>5.0</v>
      </c>
      <c r="AR2" s="14">
        <v>5.0</v>
      </c>
      <c r="AS2" s="14">
        <v>5.0</v>
      </c>
      <c r="AT2" s="14">
        <v>5.0</v>
      </c>
      <c r="AU2" s="14">
        <v>5.0</v>
      </c>
      <c r="AV2" s="14">
        <v>5.0</v>
      </c>
      <c r="AW2" s="14">
        <v>5.0</v>
      </c>
      <c r="AX2" s="14">
        <v>5.0</v>
      </c>
      <c r="AY2" s="14">
        <v>5.0</v>
      </c>
      <c r="AZ2" s="14">
        <v>5.0</v>
      </c>
      <c r="BA2" s="14">
        <v>5.0</v>
      </c>
      <c r="BB2" s="14">
        <v>5.0</v>
      </c>
      <c r="BC2" s="14">
        <v>5.0</v>
      </c>
      <c r="BD2" s="14">
        <v>5.0</v>
      </c>
      <c r="BE2" s="14">
        <v>5.0</v>
      </c>
      <c r="BF2" s="14">
        <v>5.0</v>
      </c>
      <c r="BG2" s="14">
        <v>5.0</v>
      </c>
      <c r="BH2" s="14">
        <v>5.0</v>
      </c>
      <c r="BI2" s="14">
        <v>5.0</v>
      </c>
      <c r="BJ2" s="14">
        <v>5.0</v>
      </c>
      <c r="BK2" s="14">
        <v>5.0</v>
      </c>
      <c r="BL2" s="14">
        <v>5.0</v>
      </c>
      <c r="BM2" s="14">
        <v>5.0</v>
      </c>
      <c r="BN2" s="14">
        <v>5.0</v>
      </c>
      <c r="BO2" s="14">
        <v>5.0</v>
      </c>
      <c r="BP2" s="14">
        <v>5.0</v>
      </c>
      <c r="BQ2" s="14">
        <v>5.0</v>
      </c>
      <c r="BR2" s="14">
        <v>5.0</v>
      </c>
      <c r="BS2" s="14">
        <v>5.0</v>
      </c>
      <c r="BT2" s="14">
        <v>5.0</v>
      </c>
      <c r="BU2" s="14">
        <v>5.0</v>
      </c>
      <c r="BV2" s="14">
        <v>5.0</v>
      </c>
      <c r="BW2" s="14">
        <v>5.0</v>
      </c>
      <c r="BX2" s="14">
        <v>5.0</v>
      </c>
      <c r="BY2" s="14">
        <v>5.0</v>
      </c>
      <c r="BZ2" s="14">
        <v>5.0</v>
      </c>
    </row>
    <row r="3" ht="22.5" customHeight="1">
      <c r="A3" s="13">
        <v>46247.56973986111</v>
      </c>
      <c r="B3" s="14" t="s">
        <v>162</v>
      </c>
      <c r="C3" s="14" t="s">
        <v>167</v>
      </c>
      <c r="D3" s="14">
        <v>2020.0</v>
      </c>
      <c r="E3" s="14" t="s">
        <v>168</v>
      </c>
      <c r="F3" s="14" t="s">
        <v>165</v>
      </c>
      <c r="G3" s="14">
        <v>1.0</v>
      </c>
      <c r="H3" s="14">
        <v>2.0</v>
      </c>
      <c r="I3" s="14">
        <v>3.0</v>
      </c>
      <c r="J3" s="14">
        <v>4.0</v>
      </c>
      <c r="K3" s="14">
        <v>1.0</v>
      </c>
      <c r="L3" s="14">
        <v>2.0</v>
      </c>
      <c r="M3" s="14">
        <v>4.0</v>
      </c>
      <c r="N3" s="14">
        <v>2.0</v>
      </c>
      <c r="O3" s="14">
        <v>3.0</v>
      </c>
      <c r="P3" s="14">
        <v>3.0</v>
      </c>
      <c r="Q3" s="14">
        <v>3.0</v>
      </c>
      <c r="R3" s="14">
        <v>2.0</v>
      </c>
      <c r="S3" s="14">
        <v>4.0</v>
      </c>
      <c r="T3" s="14">
        <v>3.0</v>
      </c>
      <c r="U3" s="14">
        <v>3.0</v>
      </c>
      <c r="V3" s="14">
        <v>2.0</v>
      </c>
      <c r="W3" s="14">
        <v>2.0</v>
      </c>
      <c r="X3" s="14">
        <v>4.0</v>
      </c>
      <c r="Y3" s="14">
        <v>4.0</v>
      </c>
      <c r="Z3" s="14">
        <v>2.0</v>
      </c>
      <c r="AA3" s="14">
        <v>2.0</v>
      </c>
      <c r="AB3" s="14">
        <v>4.0</v>
      </c>
      <c r="AC3" s="14">
        <v>4.0</v>
      </c>
      <c r="AD3" s="14">
        <v>2.0</v>
      </c>
      <c r="AE3" s="14">
        <v>4.0</v>
      </c>
      <c r="AF3" s="14">
        <v>4.0</v>
      </c>
      <c r="AG3" s="14">
        <v>4.0</v>
      </c>
      <c r="AH3" s="14">
        <v>2.0</v>
      </c>
      <c r="AI3" s="14">
        <v>2.0</v>
      </c>
      <c r="AJ3" s="14">
        <v>3.0</v>
      </c>
      <c r="AK3" s="14">
        <v>3.0</v>
      </c>
      <c r="AL3" s="14">
        <v>2.0</v>
      </c>
      <c r="AM3" s="14">
        <v>3.0</v>
      </c>
      <c r="AN3" s="14">
        <v>3.0</v>
      </c>
      <c r="AO3" s="14">
        <v>3.0</v>
      </c>
      <c r="AP3" s="14">
        <v>2.0</v>
      </c>
      <c r="AQ3" s="14">
        <v>2.0</v>
      </c>
      <c r="AR3" s="14">
        <v>3.0</v>
      </c>
      <c r="AS3" s="14">
        <v>3.0</v>
      </c>
      <c r="AT3" s="14">
        <v>2.0</v>
      </c>
      <c r="AU3" s="14">
        <v>2.0</v>
      </c>
      <c r="AV3" s="14">
        <v>3.0</v>
      </c>
      <c r="AW3" s="14">
        <v>3.0</v>
      </c>
      <c r="AX3" s="14">
        <v>2.0</v>
      </c>
      <c r="AY3" s="14">
        <v>2.0</v>
      </c>
      <c r="AZ3" s="14">
        <v>3.0</v>
      </c>
      <c r="BA3" s="14">
        <v>3.0</v>
      </c>
      <c r="BB3" s="14">
        <v>2.0</v>
      </c>
      <c r="BC3" s="14">
        <v>3.0</v>
      </c>
      <c r="BD3" s="14">
        <v>3.0</v>
      </c>
      <c r="BE3" s="14">
        <v>2.0</v>
      </c>
      <c r="BF3" s="14">
        <v>3.0</v>
      </c>
      <c r="BG3" s="14">
        <v>3.0</v>
      </c>
      <c r="BH3" s="14">
        <v>2.0</v>
      </c>
      <c r="BI3" s="14">
        <v>3.0</v>
      </c>
      <c r="BJ3" s="14">
        <v>3.0</v>
      </c>
      <c r="BK3" s="14">
        <v>2.0</v>
      </c>
      <c r="BL3" s="14">
        <v>2.0</v>
      </c>
      <c r="BM3" s="14">
        <v>3.0</v>
      </c>
      <c r="BN3" s="14">
        <v>4.0</v>
      </c>
      <c r="BO3" s="14">
        <v>2.0</v>
      </c>
      <c r="BP3" s="14">
        <v>4.0</v>
      </c>
      <c r="BQ3" s="14">
        <v>2.0</v>
      </c>
      <c r="BR3" s="14">
        <v>2.0</v>
      </c>
      <c r="BS3" s="14">
        <v>2.0</v>
      </c>
      <c r="BT3" s="14">
        <v>4.0</v>
      </c>
      <c r="BU3" s="14">
        <v>2.0</v>
      </c>
      <c r="BV3" s="14">
        <v>4.0</v>
      </c>
      <c r="BW3" s="14">
        <v>2.0</v>
      </c>
      <c r="BX3" s="14">
        <v>4.0</v>
      </c>
      <c r="BY3" s="14">
        <v>2.0</v>
      </c>
      <c r="BZ3" s="14">
        <v>4.0</v>
      </c>
    </row>
    <row r="4" ht="22.5" customHeight="1">
      <c r="A4" s="13">
        <v>46247.5804081713</v>
      </c>
      <c r="B4" s="14" t="s">
        <v>162</v>
      </c>
      <c r="C4" s="14" t="s">
        <v>171</v>
      </c>
      <c r="D4" s="14">
        <v>2023.0</v>
      </c>
      <c r="E4" s="14" t="s">
        <v>173</v>
      </c>
      <c r="F4" s="14" t="s">
        <v>175</v>
      </c>
      <c r="G4" s="14">
        <v>3.0</v>
      </c>
      <c r="H4" s="14">
        <v>3.0</v>
      </c>
      <c r="I4" s="14">
        <v>1.0</v>
      </c>
      <c r="J4" s="14">
        <v>4.0</v>
      </c>
      <c r="K4" s="14">
        <v>4.0</v>
      </c>
      <c r="L4" s="14">
        <v>2.0</v>
      </c>
      <c r="M4" s="14">
        <v>3.0</v>
      </c>
      <c r="N4" s="14">
        <v>1.0</v>
      </c>
      <c r="O4" s="14">
        <v>4.0</v>
      </c>
      <c r="P4" s="14">
        <v>3.0</v>
      </c>
      <c r="Q4" s="14">
        <v>3.0</v>
      </c>
      <c r="R4" s="14">
        <v>3.0</v>
      </c>
      <c r="S4" s="14">
        <v>3.0</v>
      </c>
      <c r="T4" s="14">
        <v>3.0</v>
      </c>
      <c r="U4" s="14">
        <v>1.0</v>
      </c>
      <c r="V4" s="14">
        <v>3.0</v>
      </c>
      <c r="W4" s="14">
        <v>3.0</v>
      </c>
      <c r="X4" s="14">
        <v>1.0</v>
      </c>
      <c r="Y4" s="14">
        <v>2.0</v>
      </c>
      <c r="Z4" s="14">
        <v>3.0</v>
      </c>
      <c r="AA4" s="14">
        <v>1.0</v>
      </c>
      <c r="AB4" s="14">
        <v>2.0</v>
      </c>
      <c r="AC4" s="14">
        <v>3.0</v>
      </c>
      <c r="AD4" s="14">
        <v>3.0</v>
      </c>
      <c r="AE4" s="14">
        <v>1.0</v>
      </c>
      <c r="AF4" s="14">
        <v>3.0</v>
      </c>
      <c r="AG4" s="14">
        <v>2.0</v>
      </c>
      <c r="AH4" s="14">
        <v>3.0</v>
      </c>
      <c r="AI4" s="14">
        <v>4.0</v>
      </c>
      <c r="AJ4" s="14">
        <v>4.0</v>
      </c>
      <c r="AK4" s="14">
        <v>2.0</v>
      </c>
      <c r="AL4" s="14">
        <v>3.0</v>
      </c>
      <c r="AM4" s="14">
        <v>1.0</v>
      </c>
      <c r="AN4" s="14">
        <v>3.0</v>
      </c>
      <c r="AO4" s="14">
        <v>3.0</v>
      </c>
      <c r="AP4" s="14">
        <v>1.0</v>
      </c>
      <c r="AQ4" s="14">
        <v>3.0</v>
      </c>
      <c r="AR4" s="14">
        <v>2.0</v>
      </c>
      <c r="AS4" s="14">
        <v>2.0</v>
      </c>
      <c r="AT4" s="14">
        <v>2.0</v>
      </c>
      <c r="AU4" s="14">
        <v>3.0</v>
      </c>
      <c r="AV4" s="14">
        <v>3.0</v>
      </c>
      <c r="AW4" s="14">
        <v>1.0</v>
      </c>
      <c r="AX4" s="14">
        <v>3.0</v>
      </c>
      <c r="AY4" s="14">
        <v>2.0</v>
      </c>
      <c r="AZ4" s="14">
        <v>4.0</v>
      </c>
      <c r="BA4" s="14">
        <v>4.0</v>
      </c>
      <c r="BB4" s="14">
        <v>4.0</v>
      </c>
      <c r="BC4" s="14">
        <v>3.0</v>
      </c>
      <c r="BD4" s="14">
        <v>2.0</v>
      </c>
      <c r="BE4" s="14">
        <v>1.0</v>
      </c>
      <c r="BF4" s="14">
        <v>4.0</v>
      </c>
      <c r="BG4" s="14">
        <v>4.0</v>
      </c>
      <c r="BH4" s="14">
        <v>3.0</v>
      </c>
      <c r="BI4" s="14">
        <v>3.0</v>
      </c>
      <c r="BJ4" s="14">
        <v>2.0</v>
      </c>
      <c r="BK4" s="14">
        <v>2.0</v>
      </c>
      <c r="BL4" s="14">
        <v>3.0</v>
      </c>
      <c r="BM4" s="14">
        <v>4.0</v>
      </c>
      <c r="BN4" s="14">
        <v>3.0</v>
      </c>
      <c r="BO4" s="14">
        <v>2.0</v>
      </c>
      <c r="BP4" s="14">
        <v>1.0</v>
      </c>
      <c r="BQ4" s="14">
        <v>3.0</v>
      </c>
      <c r="BR4" s="14">
        <v>4.0</v>
      </c>
      <c r="BS4" s="14">
        <v>4.0</v>
      </c>
      <c r="BT4" s="14">
        <v>3.0</v>
      </c>
      <c r="BU4" s="14">
        <v>3.0</v>
      </c>
      <c r="BV4" s="14">
        <v>2.0</v>
      </c>
      <c r="BW4" s="14">
        <v>2.0</v>
      </c>
      <c r="BX4" s="14">
        <v>3.0</v>
      </c>
      <c r="BY4" s="14">
        <v>4.0</v>
      </c>
      <c r="BZ4" s="14">
        <v>4.0</v>
      </c>
    </row>
    <row r="5" ht="22.5" customHeight="1">
      <c r="A5" s="13">
        <v>46247.58230282407</v>
      </c>
      <c r="B5" s="14" t="s">
        <v>162</v>
      </c>
      <c r="C5" s="14" t="s">
        <v>184</v>
      </c>
      <c r="D5" s="14">
        <v>2020.0</v>
      </c>
      <c r="E5" s="14" t="s">
        <v>185</v>
      </c>
      <c r="F5" s="14" t="s">
        <v>165</v>
      </c>
      <c r="G5" s="14">
        <v>1.0</v>
      </c>
      <c r="H5" s="14">
        <v>1.0</v>
      </c>
      <c r="I5" s="14">
        <v>4.0</v>
      </c>
      <c r="J5" s="14">
        <v>4.0</v>
      </c>
      <c r="K5" s="14">
        <v>4.0</v>
      </c>
      <c r="L5" s="14">
        <v>1.0</v>
      </c>
      <c r="M5" s="14">
        <v>2.0</v>
      </c>
      <c r="N5" s="14">
        <v>4.0</v>
      </c>
      <c r="O5" s="14">
        <v>4.0</v>
      </c>
      <c r="P5" s="14">
        <v>2.0</v>
      </c>
      <c r="Q5" s="14">
        <v>2.0</v>
      </c>
      <c r="R5" s="14">
        <v>4.0</v>
      </c>
      <c r="S5" s="14">
        <v>2.0</v>
      </c>
      <c r="T5" s="14">
        <v>2.0</v>
      </c>
      <c r="U5" s="14">
        <v>4.0</v>
      </c>
      <c r="V5" s="14">
        <v>4.0</v>
      </c>
      <c r="W5" s="14">
        <v>2.0</v>
      </c>
      <c r="X5" s="14">
        <v>2.0</v>
      </c>
      <c r="Y5" s="14">
        <v>4.0</v>
      </c>
      <c r="Z5" s="14">
        <v>2.0</v>
      </c>
      <c r="AA5" s="14">
        <v>2.0</v>
      </c>
      <c r="AB5" s="14">
        <v>4.0</v>
      </c>
      <c r="AC5" s="14">
        <v>4.0</v>
      </c>
      <c r="AD5" s="14">
        <v>2.0</v>
      </c>
      <c r="AE5" s="14">
        <v>2.0</v>
      </c>
      <c r="AF5" s="14">
        <v>4.0</v>
      </c>
      <c r="AG5" s="14">
        <v>4.0</v>
      </c>
      <c r="AH5" s="14">
        <v>2.0</v>
      </c>
      <c r="AI5" s="14">
        <v>2.0</v>
      </c>
      <c r="AJ5" s="14">
        <v>2.0</v>
      </c>
      <c r="AK5" s="14">
        <v>4.0</v>
      </c>
      <c r="AL5" s="14">
        <v>4.0</v>
      </c>
      <c r="AM5" s="14">
        <v>2.0</v>
      </c>
      <c r="AN5" s="14">
        <v>2.0</v>
      </c>
      <c r="AO5" s="14">
        <v>2.0</v>
      </c>
      <c r="AP5" s="14">
        <v>2.0</v>
      </c>
      <c r="AQ5" s="14">
        <v>4.0</v>
      </c>
      <c r="AR5" s="14">
        <v>2.0</v>
      </c>
      <c r="AS5" s="14">
        <v>2.0</v>
      </c>
      <c r="AT5" s="14">
        <v>2.0</v>
      </c>
      <c r="AU5" s="14">
        <v>4.0</v>
      </c>
      <c r="AV5" s="14">
        <v>2.0</v>
      </c>
      <c r="AW5" s="14">
        <v>2.0</v>
      </c>
      <c r="AX5" s="14">
        <v>4.0</v>
      </c>
      <c r="AY5" s="14">
        <v>4.0</v>
      </c>
      <c r="AZ5" s="14">
        <v>2.0</v>
      </c>
      <c r="BA5" s="14">
        <v>2.0</v>
      </c>
      <c r="BB5" s="14">
        <v>4.0</v>
      </c>
      <c r="BC5" s="14">
        <v>4.0</v>
      </c>
      <c r="BD5" s="14">
        <v>2.0</v>
      </c>
      <c r="BE5" s="14">
        <v>2.0</v>
      </c>
      <c r="BF5" s="14">
        <v>4.0</v>
      </c>
      <c r="BG5" s="14">
        <v>2.0</v>
      </c>
      <c r="BH5" s="14">
        <v>2.0</v>
      </c>
      <c r="BI5" s="14">
        <v>4.0</v>
      </c>
      <c r="BJ5" s="14">
        <v>4.0</v>
      </c>
      <c r="BK5" s="14">
        <v>2.0</v>
      </c>
      <c r="BL5" s="14">
        <v>2.0</v>
      </c>
      <c r="BM5" s="14">
        <v>4.0</v>
      </c>
      <c r="BN5" s="14">
        <v>4.0</v>
      </c>
      <c r="BO5" s="14">
        <v>2.0</v>
      </c>
      <c r="BP5" s="14">
        <v>2.0</v>
      </c>
      <c r="BQ5" s="14">
        <v>4.0</v>
      </c>
      <c r="BR5" s="14">
        <v>4.0</v>
      </c>
      <c r="BS5" s="14">
        <v>2.0</v>
      </c>
      <c r="BT5" s="14">
        <v>2.0</v>
      </c>
      <c r="BU5" s="14">
        <v>4.0</v>
      </c>
      <c r="BV5" s="14">
        <v>4.0</v>
      </c>
      <c r="BW5" s="14">
        <v>2.0</v>
      </c>
      <c r="BX5" s="14">
        <v>2.0</v>
      </c>
      <c r="BY5" s="14">
        <v>2.0</v>
      </c>
      <c r="BZ5" s="14">
        <v>2.0</v>
      </c>
    </row>
    <row r="6" ht="22.5" customHeight="1">
      <c r="A6" s="13">
        <v>46247.58394660879</v>
      </c>
      <c r="B6" s="14" t="s">
        <v>162</v>
      </c>
      <c r="C6" s="14" t="s">
        <v>188</v>
      </c>
      <c r="D6" s="14">
        <v>2025.0</v>
      </c>
      <c r="E6" s="14" t="s">
        <v>189</v>
      </c>
      <c r="F6" s="14" t="s">
        <v>190</v>
      </c>
      <c r="G6" s="14">
        <v>1.0</v>
      </c>
      <c r="H6" s="14">
        <v>1.0</v>
      </c>
      <c r="I6" s="14">
        <v>1.0</v>
      </c>
      <c r="J6" s="14">
        <v>1.0</v>
      </c>
      <c r="K6" s="14">
        <v>1.0</v>
      </c>
      <c r="L6" s="14">
        <v>1.0</v>
      </c>
      <c r="M6" s="14">
        <v>1.0</v>
      </c>
      <c r="N6" s="14">
        <v>1.0</v>
      </c>
      <c r="O6" s="14">
        <v>1.0</v>
      </c>
      <c r="P6" s="14">
        <v>1.0</v>
      </c>
      <c r="Q6" s="14">
        <v>1.0</v>
      </c>
      <c r="R6" s="14">
        <v>1.0</v>
      </c>
      <c r="S6" s="14">
        <v>1.0</v>
      </c>
      <c r="T6" s="14">
        <v>1.0</v>
      </c>
      <c r="U6" s="14">
        <v>1.0</v>
      </c>
      <c r="V6" s="14">
        <v>2.0</v>
      </c>
      <c r="W6" s="14">
        <v>1.0</v>
      </c>
      <c r="X6" s="14">
        <v>1.0</v>
      </c>
      <c r="Y6" s="14">
        <v>4.0</v>
      </c>
      <c r="Z6" s="14">
        <v>1.0</v>
      </c>
      <c r="AA6" s="14">
        <v>1.0</v>
      </c>
      <c r="AB6" s="14">
        <v>4.0</v>
      </c>
      <c r="AC6" s="14">
        <v>2.0</v>
      </c>
      <c r="AD6" s="14">
        <v>1.0</v>
      </c>
      <c r="AE6" s="14">
        <v>3.0</v>
      </c>
      <c r="AF6" s="14">
        <v>1.0</v>
      </c>
      <c r="AG6" s="14">
        <v>4.0</v>
      </c>
      <c r="AH6" s="14">
        <v>2.0</v>
      </c>
      <c r="AI6" s="14">
        <v>4.0</v>
      </c>
      <c r="AJ6" s="14">
        <v>2.0</v>
      </c>
      <c r="AK6" s="14">
        <v>4.0</v>
      </c>
      <c r="AL6" s="14">
        <v>2.0</v>
      </c>
      <c r="AM6" s="14">
        <v>4.0</v>
      </c>
      <c r="AN6" s="14">
        <v>2.0</v>
      </c>
      <c r="AO6" s="14">
        <v>3.0</v>
      </c>
      <c r="AP6" s="14">
        <v>2.0</v>
      </c>
      <c r="AQ6" s="14">
        <v>3.0</v>
      </c>
      <c r="AR6" s="14">
        <v>2.0</v>
      </c>
      <c r="AS6" s="14">
        <v>2.0</v>
      </c>
      <c r="AT6" s="14">
        <v>3.0</v>
      </c>
      <c r="AU6" s="14">
        <v>4.0</v>
      </c>
      <c r="AV6" s="14">
        <v>2.0</v>
      </c>
      <c r="AW6" s="14">
        <v>4.0</v>
      </c>
      <c r="AX6" s="14">
        <v>2.0</v>
      </c>
      <c r="AY6" s="14">
        <v>3.0</v>
      </c>
      <c r="AZ6" s="14">
        <v>3.0</v>
      </c>
      <c r="BA6" s="14">
        <v>3.0</v>
      </c>
      <c r="BB6" s="14">
        <v>2.0</v>
      </c>
      <c r="BC6" s="14">
        <v>3.0</v>
      </c>
      <c r="BD6" s="14">
        <v>2.0</v>
      </c>
      <c r="BE6" s="14">
        <v>3.0</v>
      </c>
      <c r="BF6" s="14">
        <v>2.0</v>
      </c>
      <c r="BG6" s="14">
        <v>3.0</v>
      </c>
      <c r="BH6" s="14">
        <v>3.0</v>
      </c>
      <c r="BI6" s="14">
        <v>2.0</v>
      </c>
      <c r="BJ6" s="14">
        <v>3.0</v>
      </c>
      <c r="BK6" s="14">
        <v>2.0</v>
      </c>
      <c r="BL6" s="14">
        <v>2.0</v>
      </c>
      <c r="BM6" s="14">
        <v>3.0</v>
      </c>
      <c r="BN6" s="14">
        <v>1.0</v>
      </c>
      <c r="BO6" s="14">
        <v>4.0</v>
      </c>
      <c r="BP6" s="14">
        <v>2.0</v>
      </c>
      <c r="BQ6" s="14">
        <v>2.0</v>
      </c>
      <c r="BR6" s="14">
        <v>3.0</v>
      </c>
      <c r="BS6" s="14">
        <v>2.0</v>
      </c>
      <c r="BT6" s="14">
        <v>3.0</v>
      </c>
      <c r="BU6" s="14">
        <v>2.0</v>
      </c>
      <c r="BV6" s="14">
        <v>3.0</v>
      </c>
      <c r="BW6" s="14">
        <v>2.0</v>
      </c>
      <c r="BX6" s="14">
        <v>3.0</v>
      </c>
      <c r="BY6" s="14">
        <v>2.0</v>
      </c>
      <c r="BZ6" s="14">
        <v>3.0</v>
      </c>
    </row>
    <row r="7" ht="22.5" customHeight="1">
      <c r="A7" s="13">
        <v>46247.598249849536</v>
      </c>
      <c r="B7" s="14" t="s">
        <v>162</v>
      </c>
      <c r="C7" s="14" t="s">
        <v>193</v>
      </c>
      <c r="D7" s="14">
        <v>2020.0</v>
      </c>
      <c r="E7" s="14" t="s">
        <v>194</v>
      </c>
      <c r="F7" s="14" t="s">
        <v>165</v>
      </c>
      <c r="G7" s="14">
        <v>1.0</v>
      </c>
      <c r="H7" s="14">
        <v>3.0</v>
      </c>
      <c r="I7" s="14">
        <v>1.0</v>
      </c>
      <c r="J7" s="14">
        <v>3.0</v>
      </c>
      <c r="K7" s="14">
        <v>4.0</v>
      </c>
      <c r="L7" s="14">
        <v>4.0</v>
      </c>
      <c r="M7" s="14">
        <v>1.0</v>
      </c>
      <c r="N7" s="14">
        <v>4.0</v>
      </c>
      <c r="O7" s="14">
        <v>4.0</v>
      </c>
      <c r="P7" s="14">
        <v>4.0</v>
      </c>
      <c r="Q7" s="14">
        <v>1.0</v>
      </c>
      <c r="R7" s="14">
        <v>1.0</v>
      </c>
      <c r="S7" s="14">
        <v>4.0</v>
      </c>
      <c r="T7" s="14">
        <v>4.0</v>
      </c>
      <c r="U7" s="14">
        <v>4.0</v>
      </c>
      <c r="V7" s="14">
        <v>1.0</v>
      </c>
      <c r="W7" s="14">
        <v>1.0</v>
      </c>
      <c r="X7" s="14">
        <v>4.0</v>
      </c>
      <c r="Y7" s="14">
        <v>4.0</v>
      </c>
      <c r="Z7" s="14">
        <v>4.0</v>
      </c>
      <c r="AA7" s="14">
        <v>1.0</v>
      </c>
      <c r="AB7" s="14">
        <v>1.0</v>
      </c>
      <c r="AC7" s="14">
        <v>4.0</v>
      </c>
      <c r="AD7" s="14">
        <v>4.0</v>
      </c>
      <c r="AE7" s="14">
        <v>4.0</v>
      </c>
      <c r="AF7" s="14">
        <v>1.0</v>
      </c>
      <c r="AG7" s="14">
        <v>1.0</v>
      </c>
      <c r="AH7" s="14">
        <v>4.0</v>
      </c>
      <c r="AI7" s="14">
        <v>4.0</v>
      </c>
      <c r="AJ7" s="14">
        <v>4.0</v>
      </c>
      <c r="AK7" s="14">
        <v>1.0</v>
      </c>
      <c r="AL7" s="14">
        <v>1.0</v>
      </c>
      <c r="AM7" s="14">
        <v>4.0</v>
      </c>
      <c r="AN7" s="14">
        <v>4.0</v>
      </c>
      <c r="AO7" s="14">
        <v>4.0</v>
      </c>
      <c r="AP7" s="14">
        <v>1.0</v>
      </c>
      <c r="AQ7" s="14">
        <v>1.0</v>
      </c>
      <c r="AR7" s="14">
        <v>4.0</v>
      </c>
      <c r="AS7" s="14">
        <v>4.0</v>
      </c>
      <c r="AT7" s="14">
        <v>4.0</v>
      </c>
      <c r="AU7" s="14">
        <v>1.0</v>
      </c>
      <c r="AV7" s="14">
        <v>1.0</v>
      </c>
      <c r="AW7" s="14">
        <v>4.0</v>
      </c>
      <c r="AX7" s="14">
        <v>4.0</v>
      </c>
      <c r="AY7" s="14">
        <v>4.0</v>
      </c>
      <c r="AZ7" s="14">
        <v>1.0</v>
      </c>
      <c r="BA7" s="14">
        <v>4.0</v>
      </c>
      <c r="BB7" s="14">
        <v>4.0</v>
      </c>
      <c r="BC7" s="14">
        <v>4.0</v>
      </c>
      <c r="BD7" s="14">
        <v>1.0</v>
      </c>
      <c r="BE7" s="14">
        <v>4.0</v>
      </c>
      <c r="BF7" s="14">
        <v>4.0</v>
      </c>
      <c r="BG7" s="14">
        <v>4.0</v>
      </c>
      <c r="BH7" s="14">
        <v>1.0</v>
      </c>
      <c r="BI7" s="14">
        <v>1.0</v>
      </c>
      <c r="BJ7" s="14">
        <v>4.0</v>
      </c>
      <c r="BK7" s="14">
        <v>1.0</v>
      </c>
      <c r="BL7" s="14">
        <v>2.0</v>
      </c>
      <c r="BM7" s="14">
        <v>2.0</v>
      </c>
      <c r="BN7" s="14">
        <v>3.0</v>
      </c>
      <c r="BO7" s="14">
        <v>3.0</v>
      </c>
      <c r="BP7" s="14">
        <v>2.0</v>
      </c>
      <c r="BQ7" s="14">
        <v>2.0</v>
      </c>
      <c r="BR7" s="14">
        <v>3.0</v>
      </c>
      <c r="BS7" s="14">
        <v>3.0</v>
      </c>
      <c r="BT7" s="14">
        <v>2.0</v>
      </c>
      <c r="BU7" s="14">
        <v>2.0</v>
      </c>
      <c r="BV7" s="14">
        <v>3.0</v>
      </c>
      <c r="BW7" s="14">
        <v>3.0</v>
      </c>
      <c r="BX7" s="14">
        <v>2.0</v>
      </c>
      <c r="BY7" s="14">
        <v>3.0</v>
      </c>
      <c r="BZ7" s="14">
        <v>3.0</v>
      </c>
    </row>
    <row r="8" ht="22.5" customHeight="1">
      <c r="A8" s="13">
        <v>46247.60190546296</v>
      </c>
      <c r="B8" s="14" t="s">
        <v>162</v>
      </c>
      <c r="C8" s="14" t="s">
        <v>198</v>
      </c>
      <c r="D8" s="14">
        <v>2020.0</v>
      </c>
      <c r="E8" s="14" t="s">
        <v>199</v>
      </c>
      <c r="F8" s="14" t="s">
        <v>165</v>
      </c>
      <c r="G8" s="14">
        <v>1.0</v>
      </c>
      <c r="H8" s="14">
        <v>3.0</v>
      </c>
      <c r="I8" s="14">
        <v>3.0</v>
      </c>
      <c r="J8" s="14">
        <v>2.0</v>
      </c>
      <c r="K8" s="14">
        <v>2.0</v>
      </c>
      <c r="L8" s="14">
        <v>4.0</v>
      </c>
      <c r="M8" s="14">
        <v>4.0</v>
      </c>
      <c r="N8" s="14">
        <v>2.0</v>
      </c>
      <c r="O8" s="14">
        <v>4.0</v>
      </c>
      <c r="P8" s="14">
        <v>4.0</v>
      </c>
      <c r="Q8" s="14">
        <v>2.0</v>
      </c>
      <c r="R8" s="14">
        <v>4.0</v>
      </c>
      <c r="S8" s="14">
        <v>4.0</v>
      </c>
      <c r="T8" s="14">
        <v>2.0</v>
      </c>
      <c r="U8" s="14">
        <v>4.0</v>
      </c>
      <c r="V8" s="14">
        <v>4.0</v>
      </c>
      <c r="W8" s="14">
        <v>2.0</v>
      </c>
      <c r="X8" s="14">
        <v>3.0</v>
      </c>
      <c r="Y8" s="14">
        <v>3.0</v>
      </c>
      <c r="Z8" s="14">
        <v>2.0</v>
      </c>
      <c r="AA8" s="14">
        <v>3.0</v>
      </c>
      <c r="AB8" s="14">
        <v>3.0</v>
      </c>
      <c r="AC8" s="14">
        <v>2.0</v>
      </c>
      <c r="AD8" s="14">
        <v>3.0</v>
      </c>
      <c r="AE8" s="14">
        <v>3.0</v>
      </c>
      <c r="AF8" s="14">
        <v>2.0</v>
      </c>
      <c r="AG8" s="14">
        <v>3.0</v>
      </c>
      <c r="AH8" s="14">
        <v>3.0</v>
      </c>
      <c r="AI8" s="14">
        <v>2.0</v>
      </c>
      <c r="AJ8" s="14">
        <v>4.0</v>
      </c>
      <c r="AK8" s="14">
        <v>4.0</v>
      </c>
      <c r="AL8" s="14">
        <v>2.0</v>
      </c>
      <c r="AM8" s="14">
        <v>4.0</v>
      </c>
      <c r="AN8" s="14">
        <v>4.0</v>
      </c>
      <c r="AO8" s="14">
        <v>4.0</v>
      </c>
      <c r="AP8" s="14">
        <v>2.0</v>
      </c>
      <c r="AQ8" s="14">
        <v>4.0</v>
      </c>
      <c r="AR8" s="14">
        <v>2.0</v>
      </c>
      <c r="AS8" s="14">
        <v>4.0</v>
      </c>
      <c r="AT8" s="14">
        <v>2.0</v>
      </c>
      <c r="AU8" s="14">
        <v>4.0</v>
      </c>
      <c r="AV8" s="14">
        <v>2.0</v>
      </c>
      <c r="AW8" s="14">
        <v>4.0</v>
      </c>
      <c r="AX8" s="14">
        <v>4.0</v>
      </c>
      <c r="AY8" s="14">
        <v>2.0</v>
      </c>
      <c r="AZ8" s="14">
        <v>4.0</v>
      </c>
      <c r="BA8" s="14">
        <v>2.0</v>
      </c>
      <c r="BB8" s="14">
        <v>4.0</v>
      </c>
      <c r="BC8" s="14">
        <v>2.0</v>
      </c>
      <c r="BD8" s="14">
        <v>4.0</v>
      </c>
      <c r="BE8" s="14">
        <v>2.0</v>
      </c>
      <c r="BF8" s="14">
        <v>4.0</v>
      </c>
      <c r="BG8" s="14">
        <v>4.0</v>
      </c>
      <c r="BH8" s="14">
        <v>2.0</v>
      </c>
      <c r="BI8" s="14">
        <v>4.0</v>
      </c>
      <c r="BJ8" s="14">
        <v>2.0</v>
      </c>
      <c r="BK8" s="14">
        <v>3.0</v>
      </c>
      <c r="BL8" s="14">
        <v>2.0</v>
      </c>
      <c r="BM8" s="14">
        <v>3.0</v>
      </c>
      <c r="BN8" s="14">
        <v>2.0</v>
      </c>
      <c r="BO8" s="14">
        <v>3.0</v>
      </c>
      <c r="BP8" s="14">
        <v>2.0</v>
      </c>
      <c r="BQ8" s="14">
        <v>2.0</v>
      </c>
      <c r="BR8" s="14">
        <v>3.0</v>
      </c>
      <c r="BS8" s="14">
        <v>2.0</v>
      </c>
      <c r="BT8" s="14">
        <v>4.0</v>
      </c>
      <c r="BU8" s="14">
        <v>2.0</v>
      </c>
      <c r="BV8" s="14">
        <v>4.0</v>
      </c>
      <c r="BW8" s="14">
        <v>2.0</v>
      </c>
      <c r="BX8" s="14">
        <v>4.0</v>
      </c>
      <c r="BY8" s="14">
        <v>2.0</v>
      </c>
      <c r="BZ8" s="14">
        <v>4.0</v>
      </c>
    </row>
    <row r="9" ht="22.5" customHeight="1">
      <c r="A9" s="13">
        <v>46247.60367030093</v>
      </c>
      <c r="B9" s="14" t="s">
        <v>162</v>
      </c>
      <c r="C9" s="14" t="s">
        <v>203</v>
      </c>
      <c r="D9" s="14">
        <v>2020.0</v>
      </c>
      <c r="E9" s="14" t="s">
        <v>194</v>
      </c>
      <c r="F9" s="14" t="s">
        <v>165</v>
      </c>
      <c r="G9" s="14">
        <v>1.0</v>
      </c>
      <c r="H9" s="14">
        <v>1.0</v>
      </c>
      <c r="I9" s="14">
        <v>4.0</v>
      </c>
      <c r="J9" s="14">
        <v>4.0</v>
      </c>
      <c r="K9" s="14">
        <v>4.0</v>
      </c>
      <c r="L9" s="14">
        <v>1.0</v>
      </c>
      <c r="M9" s="14">
        <v>1.0</v>
      </c>
      <c r="N9" s="14">
        <v>4.0</v>
      </c>
      <c r="O9" s="14">
        <v>4.0</v>
      </c>
      <c r="P9" s="14">
        <v>1.0</v>
      </c>
      <c r="Q9" s="14">
        <v>1.0</v>
      </c>
      <c r="R9" s="14">
        <v>4.0</v>
      </c>
      <c r="S9" s="14">
        <v>4.0</v>
      </c>
      <c r="T9" s="14">
        <v>1.0</v>
      </c>
      <c r="U9" s="14">
        <v>1.0</v>
      </c>
      <c r="V9" s="14">
        <v>4.0</v>
      </c>
      <c r="W9" s="14">
        <v>4.0</v>
      </c>
      <c r="X9" s="14">
        <v>4.0</v>
      </c>
      <c r="Y9" s="14">
        <v>1.0</v>
      </c>
      <c r="Z9" s="14">
        <v>4.0</v>
      </c>
      <c r="AA9" s="14">
        <v>4.0</v>
      </c>
      <c r="AB9" s="14">
        <v>4.0</v>
      </c>
      <c r="AC9" s="14">
        <v>1.0</v>
      </c>
      <c r="AD9" s="14">
        <v>1.0</v>
      </c>
      <c r="AE9" s="14">
        <v>4.0</v>
      </c>
      <c r="AF9" s="14">
        <v>4.0</v>
      </c>
      <c r="AG9" s="14">
        <v>1.0</v>
      </c>
      <c r="AH9" s="14">
        <v>1.0</v>
      </c>
      <c r="AI9" s="14">
        <v>2.0</v>
      </c>
      <c r="AJ9" s="14">
        <v>2.0</v>
      </c>
      <c r="AK9" s="14">
        <v>2.0</v>
      </c>
      <c r="AL9" s="14">
        <v>2.0</v>
      </c>
      <c r="AM9" s="14">
        <v>3.0</v>
      </c>
      <c r="AN9" s="14">
        <v>3.0</v>
      </c>
      <c r="AO9" s="14">
        <v>3.0</v>
      </c>
      <c r="AP9" s="14">
        <v>2.0</v>
      </c>
      <c r="AQ9" s="14">
        <v>2.0</v>
      </c>
      <c r="AR9" s="14">
        <v>3.0</v>
      </c>
      <c r="AS9" s="14">
        <v>3.0</v>
      </c>
      <c r="AT9" s="14">
        <v>2.0</v>
      </c>
      <c r="AU9" s="14">
        <v>2.0</v>
      </c>
      <c r="AV9" s="14">
        <v>3.0</v>
      </c>
      <c r="AW9" s="14">
        <v>3.0</v>
      </c>
      <c r="AX9" s="14">
        <v>2.0</v>
      </c>
      <c r="AY9" s="14">
        <v>3.0</v>
      </c>
      <c r="AZ9" s="14">
        <v>3.0</v>
      </c>
      <c r="BA9" s="14">
        <v>2.0</v>
      </c>
      <c r="BB9" s="14">
        <v>2.0</v>
      </c>
      <c r="BC9" s="14">
        <v>3.0</v>
      </c>
      <c r="BD9" s="14">
        <v>3.0</v>
      </c>
      <c r="BE9" s="14">
        <v>2.0</v>
      </c>
      <c r="BF9" s="14">
        <v>3.0</v>
      </c>
      <c r="BG9" s="14">
        <v>3.0</v>
      </c>
      <c r="BH9" s="14">
        <v>3.0</v>
      </c>
      <c r="BI9" s="14">
        <v>2.0</v>
      </c>
      <c r="BJ9" s="14">
        <v>3.0</v>
      </c>
      <c r="BK9" s="14">
        <v>3.0</v>
      </c>
      <c r="BL9" s="14">
        <v>3.0</v>
      </c>
      <c r="BM9" s="14">
        <v>2.0</v>
      </c>
      <c r="BN9" s="14">
        <v>2.0</v>
      </c>
      <c r="BO9" s="14">
        <v>3.0</v>
      </c>
      <c r="BP9" s="14">
        <v>3.0</v>
      </c>
      <c r="BQ9" s="14">
        <v>2.0</v>
      </c>
      <c r="BR9" s="14">
        <v>3.0</v>
      </c>
      <c r="BS9" s="14">
        <v>2.0</v>
      </c>
      <c r="BT9" s="14">
        <v>3.0</v>
      </c>
      <c r="BU9" s="14">
        <v>2.0</v>
      </c>
      <c r="BV9" s="14">
        <v>2.0</v>
      </c>
      <c r="BW9" s="14">
        <v>3.0</v>
      </c>
      <c r="BX9" s="14">
        <v>2.0</v>
      </c>
      <c r="BY9" s="14">
        <v>3.0</v>
      </c>
      <c r="BZ9" s="14">
        <v>3.0</v>
      </c>
    </row>
    <row r="10" ht="22.5" customHeight="1">
      <c r="A10" s="13">
        <v>46247.61480001158</v>
      </c>
      <c r="B10" s="14" t="s">
        <v>162</v>
      </c>
      <c r="C10" s="14" t="s">
        <v>207</v>
      </c>
      <c r="D10" s="14">
        <v>1.0</v>
      </c>
      <c r="E10" s="14">
        <v>1.0</v>
      </c>
      <c r="F10" s="14" t="s">
        <v>208</v>
      </c>
      <c r="G10" s="14">
        <v>5.0</v>
      </c>
      <c r="H10" s="14">
        <v>5.0</v>
      </c>
      <c r="I10" s="14">
        <v>5.0</v>
      </c>
      <c r="J10" s="14">
        <v>5.0</v>
      </c>
      <c r="K10" s="14">
        <v>5.0</v>
      </c>
      <c r="L10" s="14">
        <v>5.0</v>
      </c>
      <c r="M10" s="14">
        <v>5.0</v>
      </c>
      <c r="N10" s="14">
        <v>5.0</v>
      </c>
      <c r="O10" s="14">
        <v>5.0</v>
      </c>
      <c r="P10" s="14">
        <v>5.0</v>
      </c>
      <c r="Q10" s="14">
        <v>5.0</v>
      </c>
      <c r="R10" s="14">
        <v>5.0</v>
      </c>
      <c r="S10" s="14">
        <v>5.0</v>
      </c>
      <c r="T10" s="14">
        <v>5.0</v>
      </c>
      <c r="U10" s="14">
        <v>5.0</v>
      </c>
      <c r="V10" s="14">
        <v>5.0</v>
      </c>
      <c r="W10" s="14">
        <v>5.0</v>
      </c>
      <c r="X10" s="14">
        <v>5.0</v>
      </c>
      <c r="Y10" s="14">
        <v>5.0</v>
      </c>
      <c r="Z10" s="14">
        <v>5.0</v>
      </c>
      <c r="AA10" s="14">
        <v>5.0</v>
      </c>
      <c r="AB10" s="14">
        <v>5.0</v>
      </c>
      <c r="AC10" s="14">
        <v>5.0</v>
      </c>
      <c r="AD10" s="14">
        <v>5.0</v>
      </c>
      <c r="AE10" s="14">
        <v>5.0</v>
      </c>
      <c r="AF10" s="14">
        <v>5.0</v>
      </c>
      <c r="AG10" s="14">
        <v>5.0</v>
      </c>
      <c r="AH10" s="14">
        <v>5.0</v>
      </c>
      <c r="AI10" s="14">
        <v>5.0</v>
      </c>
      <c r="AJ10" s="14">
        <v>5.0</v>
      </c>
      <c r="AK10" s="14">
        <v>5.0</v>
      </c>
      <c r="AL10" s="14">
        <v>5.0</v>
      </c>
      <c r="AM10" s="14">
        <v>5.0</v>
      </c>
      <c r="AN10" s="14">
        <v>5.0</v>
      </c>
      <c r="AO10" s="14">
        <v>5.0</v>
      </c>
      <c r="AP10" s="14">
        <v>5.0</v>
      </c>
      <c r="AQ10" s="14">
        <v>5.0</v>
      </c>
      <c r="AR10" s="14">
        <v>5.0</v>
      </c>
      <c r="AS10" s="14">
        <v>5.0</v>
      </c>
      <c r="AT10" s="14">
        <v>5.0</v>
      </c>
      <c r="AU10" s="14">
        <v>5.0</v>
      </c>
      <c r="AV10" s="14">
        <v>5.0</v>
      </c>
      <c r="AW10" s="14">
        <v>5.0</v>
      </c>
      <c r="AX10" s="14">
        <v>5.0</v>
      </c>
      <c r="AY10" s="14">
        <v>5.0</v>
      </c>
      <c r="AZ10" s="14">
        <v>5.0</v>
      </c>
      <c r="BA10" s="14">
        <v>5.0</v>
      </c>
      <c r="BB10" s="14">
        <v>5.0</v>
      </c>
      <c r="BC10" s="14">
        <v>5.0</v>
      </c>
      <c r="BD10" s="14">
        <v>5.0</v>
      </c>
      <c r="BE10" s="14">
        <v>5.0</v>
      </c>
      <c r="BF10" s="14">
        <v>5.0</v>
      </c>
      <c r="BG10" s="14">
        <v>5.0</v>
      </c>
      <c r="BH10" s="14">
        <v>5.0</v>
      </c>
      <c r="BI10" s="14">
        <v>5.0</v>
      </c>
      <c r="BJ10" s="14">
        <v>5.0</v>
      </c>
      <c r="BK10" s="14">
        <v>5.0</v>
      </c>
      <c r="BL10" s="14">
        <v>5.0</v>
      </c>
      <c r="BM10" s="14">
        <v>5.0</v>
      </c>
      <c r="BN10" s="14">
        <v>5.0</v>
      </c>
      <c r="BO10" s="14">
        <v>5.0</v>
      </c>
      <c r="BP10" s="14">
        <v>5.0</v>
      </c>
      <c r="BQ10" s="14">
        <v>5.0</v>
      </c>
      <c r="BR10" s="14">
        <v>5.0</v>
      </c>
      <c r="BS10" s="14">
        <v>5.0</v>
      </c>
      <c r="BT10" s="14">
        <v>5.0</v>
      </c>
      <c r="BU10" s="14">
        <v>5.0</v>
      </c>
      <c r="BV10" s="14">
        <v>5.0</v>
      </c>
      <c r="BW10" s="14">
        <v>5.0</v>
      </c>
      <c r="BX10" s="14">
        <v>5.0</v>
      </c>
      <c r="BY10" s="14">
        <v>5.0</v>
      </c>
      <c r="BZ10" s="14">
        <v>5.0</v>
      </c>
    </row>
    <row r="11" ht="22.5" customHeight="1">
      <c r="A11" s="13">
        <v>46247.6179690625</v>
      </c>
      <c r="B11" s="14" t="s">
        <v>162</v>
      </c>
      <c r="C11" s="14" t="s">
        <v>212</v>
      </c>
      <c r="D11" s="14">
        <v>2026.0</v>
      </c>
      <c r="E11" s="14" t="s">
        <v>213</v>
      </c>
      <c r="F11" s="14" t="s">
        <v>214</v>
      </c>
      <c r="G11" s="14">
        <v>3.0</v>
      </c>
      <c r="H11" s="14">
        <v>5.0</v>
      </c>
      <c r="I11" s="14">
        <v>5.0</v>
      </c>
      <c r="J11" s="14">
        <v>5.0</v>
      </c>
      <c r="K11" s="14">
        <v>5.0</v>
      </c>
      <c r="L11" s="14">
        <v>5.0</v>
      </c>
      <c r="M11" s="14">
        <v>3.0</v>
      </c>
      <c r="N11" s="14">
        <v>5.0</v>
      </c>
      <c r="O11" s="14">
        <v>5.0</v>
      </c>
      <c r="P11" s="14">
        <v>5.0</v>
      </c>
      <c r="Q11" s="14">
        <v>5.0</v>
      </c>
      <c r="R11" s="14">
        <v>5.0</v>
      </c>
      <c r="S11" s="14">
        <v>3.0</v>
      </c>
      <c r="T11" s="14">
        <v>5.0</v>
      </c>
      <c r="U11" s="14">
        <v>5.0</v>
      </c>
      <c r="V11" s="14">
        <v>5.0</v>
      </c>
      <c r="W11" s="14">
        <v>5.0</v>
      </c>
      <c r="X11" s="14">
        <v>5.0</v>
      </c>
      <c r="Y11" s="14">
        <v>3.0</v>
      </c>
      <c r="Z11" s="14">
        <v>5.0</v>
      </c>
      <c r="AA11" s="14">
        <v>5.0</v>
      </c>
      <c r="AB11" s="14">
        <v>5.0</v>
      </c>
      <c r="AC11" s="14">
        <v>5.0</v>
      </c>
      <c r="AD11" s="14">
        <v>5.0</v>
      </c>
      <c r="AE11" s="14">
        <v>4.0</v>
      </c>
      <c r="AF11" s="14">
        <v>5.0</v>
      </c>
      <c r="AG11" s="14">
        <v>5.0</v>
      </c>
      <c r="AH11" s="14">
        <v>5.0</v>
      </c>
      <c r="AI11" s="14">
        <v>5.0</v>
      </c>
      <c r="AJ11" s="14">
        <v>5.0</v>
      </c>
      <c r="AK11" s="14">
        <v>4.0</v>
      </c>
      <c r="AL11" s="14">
        <v>5.0</v>
      </c>
      <c r="AM11" s="14">
        <v>5.0</v>
      </c>
      <c r="AN11" s="14">
        <v>5.0</v>
      </c>
      <c r="AO11" s="14">
        <v>5.0</v>
      </c>
      <c r="AP11" s="14">
        <v>5.0</v>
      </c>
      <c r="AQ11" s="14">
        <v>3.0</v>
      </c>
      <c r="AR11" s="14">
        <v>4.0</v>
      </c>
      <c r="AS11" s="14">
        <v>5.0</v>
      </c>
      <c r="AT11" s="14">
        <v>5.0</v>
      </c>
      <c r="AU11" s="14">
        <v>5.0</v>
      </c>
      <c r="AV11" s="14">
        <v>5.0</v>
      </c>
      <c r="AW11" s="14">
        <v>4.0</v>
      </c>
      <c r="AX11" s="14">
        <v>5.0</v>
      </c>
      <c r="AY11" s="14">
        <v>5.0</v>
      </c>
      <c r="AZ11" s="14">
        <v>5.0</v>
      </c>
      <c r="BA11" s="14">
        <v>5.0</v>
      </c>
      <c r="BB11" s="14">
        <v>5.0</v>
      </c>
      <c r="BC11" s="14">
        <v>5.0</v>
      </c>
      <c r="BD11" s="14">
        <v>5.0</v>
      </c>
      <c r="BE11" s="14">
        <v>5.0</v>
      </c>
      <c r="BF11" s="14">
        <v>5.0</v>
      </c>
      <c r="BG11" s="14">
        <v>5.0</v>
      </c>
      <c r="BH11" s="14">
        <v>5.0</v>
      </c>
      <c r="BI11" s="14">
        <v>5.0</v>
      </c>
      <c r="BJ11" s="14">
        <v>5.0</v>
      </c>
      <c r="BK11" s="14">
        <v>5.0</v>
      </c>
      <c r="BL11" s="14">
        <v>5.0</v>
      </c>
      <c r="BM11" s="14">
        <v>5.0</v>
      </c>
      <c r="BN11" s="14">
        <v>5.0</v>
      </c>
      <c r="BO11" s="14">
        <v>5.0</v>
      </c>
      <c r="BP11" s="14">
        <v>5.0</v>
      </c>
      <c r="BQ11" s="14">
        <v>5.0</v>
      </c>
      <c r="BR11" s="14">
        <v>5.0</v>
      </c>
      <c r="BS11" s="14">
        <v>5.0</v>
      </c>
      <c r="BT11" s="14">
        <v>5.0</v>
      </c>
      <c r="BU11" s="14">
        <v>5.0</v>
      </c>
      <c r="BV11" s="14">
        <v>5.0</v>
      </c>
      <c r="BW11" s="14">
        <v>5.0</v>
      </c>
      <c r="BX11" s="14">
        <v>5.0</v>
      </c>
      <c r="BY11" s="14">
        <v>5.0</v>
      </c>
      <c r="BZ11" s="14">
        <v>5.0</v>
      </c>
    </row>
    <row r="12" ht="22.5" customHeight="1">
      <c r="A12" s="13">
        <v>46247.619198263885</v>
      </c>
      <c r="B12" s="14" t="s">
        <v>162</v>
      </c>
      <c r="C12" s="14" t="s">
        <v>218</v>
      </c>
      <c r="D12" s="14">
        <v>2026.0</v>
      </c>
      <c r="E12" s="14" t="s">
        <v>219</v>
      </c>
      <c r="F12" s="14" t="s">
        <v>220</v>
      </c>
      <c r="G12" s="14">
        <v>3.0</v>
      </c>
      <c r="H12" s="14">
        <v>1.0</v>
      </c>
      <c r="I12" s="14">
        <v>1.0</v>
      </c>
      <c r="J12" s="14">
        <v>5.0</v>
      </c>
      <c r="K12" s="14">
        <v>5.0</v>
      </c>
      <c r="L12" s="14">
        <v>3.0</v>
      </c>
      <c r="M12" s="14">
        <v>1.0</v>
      </c>
      <c r="N12" s="14">
        <v>1.0</v>
      </c>
      <c r="O12" s="14">
        <v>1.0</v>
      </c>
      <c r="P12" s="14">
        <v>5.0</v>
      </c>
      <c r="Q12" s="14">
        <v>3.0</v>
      </c>
      <c r="R12" s="14">
        <v>5.0</v>
      </c>
      <c r="S12" s="14">
        <v>3.0</v>
      </c>
      <c r="T12" s="14">
        <v>1.0</v>
      </c>
      <c r="U12" s="14">
        <v>1.0</v>
      </c>
      <c r="V12" s="14">
        <v>5.0</v>
      </c>
      <c r="W12" s="14">
        <v>3.0</v>
      </c>
      <c r="X12" s="14">
        <v>1.0</v>
      </c>
      <c r="Y12" s="14">
        <v>1.0</v>
      </c>
      <c r="Z12" s="14">
        <v>1.0</v>
      </c>
      <c r="AA12" s="14">
        <v>4.0</v>
      </c>
      <c r="AB12" s="14">
        <v>5.0</v>
      </c>
      <c r="AC12" s="14">
        <v>3.0</v>
      </c>
      <c r="AD12" s="14">
        <v>1.0</v>
      </c>
      <c r="AE12" s="14">
        <v>1.0</v>
      </c>
      <c r="AF12" s="14">
        <v>1.0</v>
      </c>
      <c r="AG12" s="14">
        <v>1.0</v>
      </c>
      <c r="AH12" s="14">
        <v>5.0</v>
      </c>
      <c r="AI12" s="14">
        <v>3.0</v>
      </c>
      <c r="AJ12" s="14">
        <v>5.0</v>
      </c>
      <c r="AK12" s="14">
        <v>3.0</v>
      </c>
      <c r="AL12" s="14">
        <v>1.0</v>
      </c>
      <c r="AM12" s="14">
        <v>1.0</v>
      </c>
      <c r="AN12" s="14">
        <v>3.0</v>
      </c>
      <c r="AO12" s="14">
        <v>2.0</v>
      </c>
      <c r="AP12" s="14">
        <v>1.0</v>
      </c>
      <c r="AQ12" s="14">
        <v>3.0</v>
      </c>
      <c r="AR12" s="14">
        <v>1.0</v>
      </c>
      <c r="AS12" s="14">
        <v>3.0</v>
      </c>
      <c r="AT12" s="14">
        <v>5.0</v>
      </c>
      <c r="AU12" s="14">
        <v>5.0</v>
      </c>
      <c r="AV12" s="14">
        <v>5.0</v>
      </c>
      <c r="AW12" s="14">
        <v>1.0</v>
      </c>
      <c r="AX12" s="14">
        <v>1.0</v>
      </c>
      <c r="AY12" s="14">
        <v>1.0</v>
      </c>
      <c r="AZ12" s="14">
        <v>1.0</v>
      </c>
      <c r="BA12" s="14">
        <v>3.0</v>
      </c>
      <c r="BB12" s="14">
        <v>5.0</v>
      </c>
      <c r="BC12" s="14">
        <v>3.0</v>
      </c>
      <c r="BD12" s="14">
        <v>3.0</v>
      </c>
      <c r="BE12" s="14">
        <v>1.0</v>
      </c>
      <c r="BF12" s="14">
        <v>5.0</v>
      </c>
      <c r="BG12" s="14">
        <v>5.0</v>
      </c>
      <c r="BH12" s="14">
        <v>5.0</v>
      </c>
      <c r="BI12" s="14">
        <v>5.0</v>
      </c>
      <c r="BJ12" s="14">
        <v>1.0</v>
      </c>
      <c r="BK12" s="14">
        <v>1.0</v>
      </c>
      <c r="BL12" s="14">
        <v>5.0</v>
      </c>
      <c r="BM12" s="14">
        <v>5.0</v>
      </c>
      <c r="BN12" s="14">
        <v>5.0</v>
      </c>
      <c r="BO12" s="14">
        <v>1.0</v>
      </c>
      <c r="BP12" s="14">
        <v>1.0</v>
      </c>
      <c r="BQ12" s="14">
        <v>1.0</v>
      </c>
      <c r="BR12" s="14">
        <v>5.0</v>
      </c>
      <c r="BS12" s="14">
        <v>5.0</v>
      </c>
      <c r="BT12" s="14">
        <v>5.0</v>
      </c>
      <c r="BU12" s="14">
        <v>3.0</v>
      </c>
      <c r="BV12" s="14">
        <v>1.0</v>
      </c>
      <c r="BW12" s="14">
        <v>1.0</v>
      </c>
      <c r="BX12" s="14">
        <v>5.0</v>
      </c>
      <c r="BY12" s="14">
        <v>5.0</v>
      </c>
      <c r="BZ12" s="14">
        <v>5.0</v>
      </c>
    </row>
    <row r="13" ht="22.5" customHeight="1">
      <c r="A13" s="13">
        <v>46247.63620138889</v>
      </c>
      <c r="B13" s="14" t="s">
        <v>162</v>
      </c>
      <c r="C13" s="14" t="s">
        <v>224</v>
      </c>
      <c r="D13" s="14">
        <v>2006.0</v>
      </c>
      <c r="E13" s="14" t="s">
        <v>225</v>
      </c>
      <c r="F13" s="14" t="s">
        <v>226</v>
      </c>
      <c r="G13" s="14">
        <v>1.0</v>
      </c>
      <c r="H13" s="14">
        <v>1.0</v>
      </c>
      <c r="I13" s="14">
        <v>1.0</v>
      </c>
      <c r="J13" s="14">
        <v>1.0</v>
      </c>
      <c r="K13" s="14">
        <v>1.0</v>
      </c>
      <c r="L13" s="14">
        <v>1.0</v>
      </c>
      <c r="M13" s="14">
        <v>1.0</v>
      </c>
      <c r="N13" s="14">
        <v>1.0</v>
      </c>
      <c r="O13" s="14">
        <v>1.0</v>
      </c>
      <c r="P13" s="14">
        <v>1.0</v>
      </c>
      <c r="Q13" s="14">
        <v>1.0</v>
      </c>
      <c r="R13" s="14">
        <v>1.0</v>
      </c>
      <c r="S13" s="14">
        <v>1.0</v>
      </c>
      <c r="T13" s="14">
        <v>1.0</v>
      </c>
      <c r="U13" s="14">
        <v>1.0</v>
      </c>
      <c r="V13" s="14">
        <v>1.0</v>
      </c>
      <c r="W13" s="14">
        <v>1.0</v>
      </c>
      <c r="X13" s="14">
        <v>1.0</v>
      </c>
      <c r="Y13" s="14">
        <v>1.0</v>
      </c>
      <c r="Z13" s="14">
        <v>1.0</v>
      </c>
      <c r="AA13" s="14">
        <v>1.0</v>
      </c>
      <c r="AB13" s="14">
        <v>1.0</v>
      </c>
      <c r="AC13" s="14">
        <v>1.0</v>
      </c>
      <c r="AD13" s="14">
        <v>1.0</v>
      </c>
      <c r="AE13" s="14">
        <v>1.0</v>
      </c>
      <c r="AF13" s="14">
        <v>1.0</v>
      </c>
      <c r="AG13" s="14">
        <v>1.0</v>
      </c>
      <c r="AH13" s="14">
        <v>1.0</v>
      </c>
      <c r="AI13" s="14">
        <v>1.0</v>
      </c>
      <c r="AJ13" s="14">
        <v>1.0</v>
      </c>
      <c r="AK13" s="14">
        <v>1.0</v>
      </c>
      <c r="AL13" s="14">
        <v>1.0</v>
      </c>
      <c r="AM13" s="14">
        <v>1.0</v>
      </c>
      <c r="AN13" s="14">
        <v>1.0</v>
      </c>
      <c r="AO13" s="14">
        <v>1.0</v>
      </c>
      <c r="AP13" s="14">
        <v>1.0</v>
      </c>
      <c r="AQ13" s="14">
        <v>1.0</v>
      </c>
      <c r="AR13" s="14">
        <v>1.0</v>
      </c>
      <c r="AS13" s="14">
        <v>1.0</v>
      </c>
      <c r="AT13" s="14">
        <v>1.0</v>
      </c>
      <c r="AU13" s="14">
        <v>1.0</v>
      </c>
      <c r="AV13" s="14">
        <v>1.0</v>
      </c>
      <c r="AW13" s="14">
        <v>1.0</v>
      </c>
      <c r="AX13" s="14">
        <v>1.0</v>
      </c>
      <c r="AY13" s="14">
        <v>1.0</v>
      </c>
      <c r="AZ13" s="14">
        <v>1.0</v>
      </c>
      <c r="BA13" s="14">
        <v>1.0</v>
      </c>
      <c r="BB13" s="14">
        <v>1.0</v>
      </c>
      <c r="BC13" s="14">
        <v>1.0</v>
      </c>
      <c r="BD13" s="14">
        <v>1.0</v>
      </c>
      <c r="BE13" s="14">
        <v>1.0</v>
      </c>
      <c r="BF13" s="14">
        <v>1.0</v>
      </c>
      <c r="BG13" s="14">
        <v>1.0</v>
      </c>
      <c r="BH13" s="14">
        <v>1.0</v>
      </c>
      <c r="BI13" s="14">
        <v>1.0</v>
      </c>
      <c r="BJ13" s="14">
        <v>1.0</v>
      </c>
      <c r="BK13" s="14">
        <v>1.0</v>
      </c>
      <c r="BL13" s="14">
        <v>1.0</v>
      </c>
      <c r="BM13" s="14">
        <v>1.0</v>
      </c>
      <c r="BN13" s="14">
        <v>1.0</v>
      </c>
      <c r="BO13" s="14">
        <v>1.0</v>
      </c>
      <c r="BP13" s="14">
        <v>1.0</v>
      </c>
      <c r="BQ13" s="14">
        <v>1.0</v>
      </c>
      <c r="BR13" s="14">
        <v>1.0</v>
      </c>
      <c r="BS13" s="14">
        <v>1.0</v>
      </c>
      <c r="BT13" s="14">
        <v>1.0</v>
      </c>
      <c r="BU13" s="14">
        <v>1.0</v>
      </c>
      <c r="BV13" s="14">
        <v>1.0</v>
      </c>
      <c r="BW13" s="14">
        <v>1.0</v>
      </c>
      <c r="BX13" s="14">
        <v>1.0</v>
      </c>
      <c r="BY13" s="14">
        <v>1.0</v>
      </c>
      <c r="BZ13" s="14">
        <v>1.0</v>
      </c>
    </row>
    <row r="14" ht="22.5" customHeight="1">
      <c r="A14" s="13">
        <v>46247.637438715275</v>
      </c>
      <c r="B14" s="14" t="s">
        <v>162</v>
      </c>
      <c r="C14" s="14" t="s">
        <v>163</v>
      </c>
      <c r="D14" s="14">
        <v>2025.0</v>
      </c>
      <c r="E14" s="14" t="s">
        <v>164</v>
      </c>
      <c r="F14" s="14" t="s">
        <v>230</v>
      </c>
      <c r="G14" s="14">
        <v>3.0</v>
      </c>
      <c r="H14" s="14">
        <v>2.0</v>
      </c>
      <c r="I14" s="14">
        <v>4.0</v>
      </c>
      <c r="J14" s="14">
        <v>2.0</v>
      </c>
      <c r="K14" s="14">
        <v>4.0</v>
      </c>
      <c r="L14" s="14">
        <v>4.0</v>
      </c>
      <c r="M14" s="14">
        <v>2.0</v>
      </c>
      <c r="N14" s="14">
        <v>4.0</v>
      </c>
      <c r="O14" s="14">
        <v>2.0</v>
      </c>
      <c r="P14" s="14">
        <v>4.0</v>
      </c>
      <c r="Q14" s="14">
        <v>4.0</v>
      </c>
      <c r="R14" s="14">
        <v>2.0</v>
      </c>
      <c r="S14" s="14">
        <v>4.0</v>
      </c>
      <c r="T14" s="14">
        <v>4.0</v>
      </c>
      <c r="U14" s="14">
        <v>4.0</v>
      </c>
      <c r="V14" s="14">
        <v>2.0</v>
      </c>
      <c r="W14" s="14">
        <v>4.0</v>
      </c>
      <c r="X14" s="14">
        <v>4.0</v>
      </c>
      <c r="Y14" s="14">
        <v>4.0</v>
      </c>
      <c r="Z14" s="14">
        <v>4.0</v>
      </c>
      <c r="AA14" s="14">
        <v>3.0</v>
      </c>
      <c r="AB14" s="14">
        <v>3.0</v>
      </c>
      <c r="AC14" s="14">
        <v>4.0</v>
      </c>
      <c r="AD14" s="14">
        <v>3.0</v>
      </c>
      <c r="AE14" s="14">
        <v>2.0</v>
      </c>
      <c r="AF14" s="14">
        <v>2.0</v>
      </c>
      <c r="AG14" s="14">
        <v>4.0</v>
      </c>
      <c r="AH14" s="14">
        <v>2.0</v>
      </c>
      <c r="AI14" s="14">
        <v>3.0</v>
      </c>
      <c r="AJ14" s="14">
        <v>3.0</v>
      </c>
      <c r="AK14" s="14">
        <v>2.0</v>
      </c>
      <c r="AL14" s="14">
        <v>3.0</v>
      </c>
      <c r="AM14" s="14">
        <v>3.0</v>
      </c>
      <c r="AN14" s="14">
        <v>3.0</v>
      </c>
      <c r="AO14" s="14">
        <v>3.0</v>
      </c>
      <c r="AP14" s="14">
        <v>3.0</v>
      </c>
      <c r="AQ14" s="14">
        <v>3.0</v>
      </c>
      <c r="AR14" s="14">
        <v>2.0</v>
      </c>
      <c r="AS14" s="14">
        <v>4.0</v>
      </c>
      <c r="AT14" s="14">
        <v>3.0</v>
      </c>
      <c r="AU14" s="14">
        <v>3.0</v>
      </c>
      <c r="AV14" s="14">
        <v>4.0</v>
      </c>
      <c r="AW14" s="14">
        <v>3.0</v>
      </c>
      <c r="AX14" s="14">
        <v>3.0</v>
      </c>
      <c r="AY14" s="14">
        <v>4.0</v>
      </c>
      <c r="AZ14" s="14">
        <v>3.0</v>
      </c>
      <c r="BA14" s="14">
        <v>4.0</v>
      </c>
      <c r="BB14" s="14">
        <v>3.0</v>
      </c>
      <c r="BC14" s="14">
        <v>3.0</v>
      </c>
      <c r="BD14" s="14">
        <v>3.0</v>
      </c>
      <c r="BE14" s="14">
        <v>3.0</v>
      </c>
      <c r="BF14" s="14">
        <v>3.0</v>
      </c>
      <c r="BG14" s="14">
        <v>3.0</v>
      </c>
      <c r="BH14" s="14">
        <v>3.0</v>
      </c>
      <c r="BI14" s="14">
        <v>2.0</v>
      </c>
      <c r="BJ14" s="14">
        <v>3.0</v>
      </c>
      <c r="BK14" s="14">
        <v>2.0</v>
      </c>
      <c r="BL14" s="14">
        <v>3.0</v>
      </c>
      <c r="BM14" s="14">
        <v>2.0</v>
      </c>
      <c r="BN14" s="14">
        <v>3.0</v>
      </c>
      <c r="BO14" s="14">
        <v>2.0</v>
      </c>
      <c r="BP14" s="14">
        <v>3.0</v>
      </c>
      <c r="BQ14" s="14">
        <v>2.0</v>
      </c>
      <c r="BR14" s="14">
        <v>3.0</v>
      </c>
      <c r="BS14" s="14">
        <v>2.0</v>
      </c>
      <c r="BT14" s="14">
        <v>3.0</v>
      </c>
      <c r="BU14" s="14">
        <v>4.0</v>
      </c>
      <c r="BV14" s="14">
        <v>4.0</v>
      </c>
      <c r="BW14" s="14">
        <v>1.0</v>
      </c>
      <c r="BX14" s="14">
        <v>1.0</v>
      </c>
      <c r="BY14" s="14">
        <v>1.0</v>
      </c>
      <c r="BZ14" s="14">
        <v>2.0</v>
      </c>
    </row>
    <row r="15" ht="22.5" customHeight="1">
      <c r="A15" s="13">
        <v>46247.638605127315</v>
      </c>
      <c r="B15" s="14" t="s">
        <v>162</v>
      </c>
      <c r="C15" s="14" t="s">
        <v>238</v>
      </c>
      <c r="D15" s="14">
        <v>2025.0</v>
      </c>
      <c r="E15" s="14" t="s">
        <v>239</v>
      </c>
      <c r="F15" s="14" t="s">
        <v>240</v>
      </c>
      <c r="G15" s="14">
        <v>5.0</v>
      </c>
      <c r="H15" s="14">
        <v>5.0</v>
      </c>
      <c r="I15" s="14">
        <v>2.0</v>
      </c>
      <c r="J15" s="14">
        <v>5.0</v>
      </c>
      <c r="K15" s="14">
        <v>4.0</v>
      </c>
      <c r="L15" s="14">
        <v>5.0</v>
      </c>
      <c r="M15" s="14">
        <v>3.0</v>
      </c>
      <c r="N15" s="14">
        <v>4.0</v>
      </c>
      <c r="O15" s="14">
        <v>4.0</v>
      </c>
      <c r="P15" s="14">
        <v>5.0</v>
      </c>
      <c r="Q15" s="14">
        <v>5.0</v>
      </c>
      <c r="R15" s="14">
        <v>5.0</v>
      </c>
      <c r="S15" s="14">
        <v>2.0</v>
      </c>
      <c r="T15" s="14">
        <v>4.0</v>
      </c>
      <c r="U15" s="14">
        <v>1.0</v>
      </c>
      <c r="V15" s="14">
        <v>4.0</v>
      </c>
      <c r="W15" s="14">
        <v>4.0</v>
      </c>
      <c r="X15" s="14">
        <v>3.0</v>
      </c>
      <c r="Y15" s="14">
        <v>5.0</v>
      </c>
      <c r="Z15" s="14">
        <v>4.0</v>
      </c>
      <c r="AA15" s="14">
        <v>4.0</v>
      </c>
      <c r="AB15" s="14">
        <v>5.0</v>
      </c>
      <c r="AC15" s="14">
        <v>5.0</v>
      </c>
      <c r="AD15" s="14">
        <v>5.0</v>
      </c>
      <c r="AE15" s="14">
        <v>1.0</v>
      </c>
      <c r="AF15" s="14">
        <v>4.0</v>
      </c>
      <c r="AG15" s="14">
        <v>3.0</v>
      </c>
      <c r="AH15" s="14">
        <v>5.0</v>
      </c>
      <c r="AI15" s="14">
        <v>4.0</v>
      </c>
      <c r="AJ15" s="14">
        <v>5.0</v>
      </c>
      <c r="AK15" s="14">
        <v>4.0</v>
      </c>
      <c r="AL15" s="14">
        <v>5.0</v>
      </c>
      <c r="AM15" s="14">
        <v>2.0</v>
      </c>
      <c r="AN15" s="14">
        <v>4.0</v>
      </c>
      <c r="AO15" s="14">
        <v>5.0</v>
      </c>
      <c r="AP15" s="14">
        <v>4.0</v>
      </c>
      <c r="AQ15" s="14">
        <v>2.0</v>
      </c>
      <c r="AR15" s="14">
        <v>4.0</v>
      </c>
      <c r="AS15" s="14">
        <v>5.0</v>
      </c>
      <c r="AT15" s="14">
        <v>5.0</v>
      </c>
      <c r="AU15" s="14">
        <v>5.0</v>
      </c>
      <c r="AV15" s="14">
        <v>5.0</v>
      </c>
      <c r="AW15" s="14">
        <v>4.0</v>
      </c>
      <c r="AX15" s="14">
        <v>4.0</v>
      </c>
      <c r="AY15" s="14">
        <v>4.0</v>
      </c>
      <c r="AZ15" s="14">
        <v>5.0</v>
      </c>
      <c r="BA15" s="14">
        <v>5.0</v>
      </c>
      <c r="BB15" s="14">
        <v>5.0</v>
      </c>
      <c r="BC15" s="14">
        <v>4.0</v>
      </c>
      <c r="BD15" s="14">
        <v>4.0</v>
      </c>
      <c r="BE15" s="14">
        <v>2.0</v>
      </c>
      <c r="BF15" s="14">
        <v>5.0</v>
      </c>
      <c r="BG15" s="14">
        <v>5.0</v>
      </c>
      <c r="BH15" s="14">
        <v>5.0</v>
      </c>
      <c r="BI15" s="14">
        <v>5.0</v>
      </c>
      <c r="BJ15" s="14">
        <v>4.0</v>
      </c>
      <c r="BK15" s="14">
        <v>4.0</v>
      </c>
      <c r="BL15" s="14">
        <v>5.0</v>
      </c>
      <c r="BM15" s="14">
        <v>5.0</v>
      </c>
      <c r="BN15" s="14">
        <v>5.0</v>
      </c>
      <c r="BO15" s="14">
        <v>5.0</v>
      </c>
      <c r="BP15" s="14">
        <v>4.0</v>
      </c>
      <c r="BQ15" s="14">
        <v>4.0</v>
      </c>
      <c r="BR15" s="14">
        <v>5.0</v>
      </c>
      <c r="BS15" s="14">
        <v>4.0</v>
      </c>
      <c r="BT15" s="14">
        <v>5.0</v>
      </c>
      <c r="BU15" s="14">
        <v>4.0</v>
      </c>
      <c r="BV15" s="14">
        <v>3.0</v>
      </c>
      <c r="BW15" s="14">
        <v>4.0</v>
      </c>
      <c r="BX15" s="14">
        <v>5.0</v>
      </c>
      <c r="BY15" s="14">
        <v>4.0</v>
      </c>
      <c r="BZ15" s="14">
        <v>5.0</v>
      </c>
    </row>
    <row r="16" ht="22.5" customHeight="1">
      <c r="A16" s="13">
        <v>46247.63983638889</v>
      </c>
      <c r="B16" s="14" t="s">
        <v>162</v>
      </c>
      <c r="C16" s="14" t="s">
        <v>244</v>
      </c>
      <c r="D16" s="14">
        <v>2025.0</v>
      </c>
      <c r="E16" s="14" t="s">
        <v>245</v>
      </c>
      <c r="F16" s="14" t="s">
        <v>246</v>
      </c>
      <c r="G16" s="14">
        <v>3.0</v>
      </c>
      <c r="H16" s="14">
        <v>3.0</v>
      </c>
      <c r="I16" s="14">
        <v>3.0</v>
      </c>
      <c r="J16" s="14">
        <v>4.0</v>
      </c>
      <c r="K16" s="14">
        <v>3.0</v>
      </c>
      <c r="L16" s="14">
        <v>3.0</v>
      </c>
      <c r="M16" s="14">
        <v>3.0</v>
      </c>
      <c r="N16" s="14">
        <v>3.0</v>
      </c>
      <c r="O16" s="14">
        <v>3.0</v>
      </c>
      <c r="P16" s="14">
        <v>3.0</v>
      </c>
      <c r="Q16" s="14">
        <v>3.0</v>
      </c>
      <c r="R16" s="14">
        <v>4.0</v>
      </c>
      <c r="S16" s="14">
        <v>3.0</v>
      </c>
      <c r="T16" s="14">
        <v>3.0</v>
      </c>
      <c r="U16" s="14">
        <v>3.0</v>
      </c>
      <c r="V16" s="14">
        <v>4.0</v>
      </c>
      <c r="W16" s="14">
        <v>3.0</v>
      </c>
      <c r="X16" s="14">
        <v>3.0</v>
      </c>
      <c r="Y16" s="14">
        <v>3.0</v>
      </c>
      <c r="Z16" s="14">
        <v>3.0</v>
      </c>
      <c r="AA16" s="14">
        <v>3.0</v>
      </c>
      <c r="AB16" s="14">
        <v>4.0</v>
      </c>
      <c r="AC16" s="14">
        <v>3.0</v>
      </c>
      <c r="AD16" s="14">
        <v>3.0</v>
      </c>
      <c r="AE16" s="14">
        <v>3.0</v>
      </c>
      <c r="AF16" s="14">
        <v>3.0</v>
      </c>
      <c r="AG16" s="14">
        <v>3.0</v>
      </c>
      <c r="AH16" s="14">
        <v>4.0</v>
      </c>
      <c r="AI16" s="14">
        <v>3.0</v>
      </c>
      <c r="AJ16" s="14">
        <v>3.0</v>
      </c>
      <c r="AK16" s="14">
        <v>3.0</v>
      </c>
      <c r="AL16" s="14">
        <v>3.0</v>
      </c>
      <c r="AM16" s="14">
        <v>3.0</v>
      </c>
      <c r="AN16" s="14">
        <v>3.0</v>
      </c>
      <c r="AO16" s="14">
        <v>3.0</v>
      </c>
      <c r="AP16" s="14">
        <v>3.0</v>
      </c>
      <c r="AQ16" s="14">
        <v>3.0</v>
      </c>
      <c r="AR16" s="14">
        <v>3.0</v>
      </c>
      <c r="AS16" s="14">
        <v>3.0</v>
      </c>
      <c r="AT16" s="14">
        <v>4.0</v>
      </c>
      <c r="AU16" s="14">
        <v>4.0</v>
      </c>
      <c r="AV16" s="14">
        <v>3.0</v>
      </c>
      <c r="AW16" s="14">
        <v>3.0</v>
      </c>
      <c r="AX16" s="14">
        <v>3.0</v>
      </c>
      <c r="AY16" s="14">
        <v>3.0</v>
      </c>
      <c r="AZ16" s="14">
        <v>4.0</v>
      </c>
      <c r="BA16" s="14">
        <v>3.0</v>
      </c>
      <c r="BB16" s="14">
        <v>3.0</v>
      </c>
      <c r="BC16" s="14">
        <v>3.0</v>
      </c>
      <c r="BD16" s="14">
        <v>3.0</v>
      </c>
      <c r="BE16" s="14">
        <v>4.0</v>
      </c>
      <c r="BF16" s="14">
        <v>4.0</v>
      </c>
      <c r="BG16" s="14">
        <v>3.0</v>
      </c>
      <c r="BH16" s="14">
        <v>4.0</v>
      </c>
      <c r="BI16" s="14">
        <v>4.0</v>
      </c>
      <c r="BJ16" s="14">
        <v>3.0</v>
      </c>
      <c r="BK16" s="14">
        <v>3.0</v>
      </c>
      <c r="BL16" s="14">
        <v>3.0</v>
      </c>
      <c r="BM16" s="14">
        <v>3.0</v>
      </c>
      <c r="BN16" s="14">
        <v>4.0</v>
      </c>
      <c r="BO16" s="14">
        <v>3.0</v>
      </c>
      <c r="BP16" s="14">
        <v>3.0</v>
      </c>
      <c r="BQ16" s="14">
        <v>3.0</v>
      </c>
      <c r="BR16" s="14">
        <v>4.0</v>
      </c>
      <c r="BS16" s="14">
        <v>4.0</v>
      </c>
      <c r="BT16" s="14">
        <v>4.0</v>
      </c>
      <c r="BU16" s="14">
        <v>3.0</v>
      </c>
      <c r="BV16" s="14">
        <v>3.0</v>
      </c>
      <c r="BW16" s="14">
        <v>3.0</v>
      </c>
      <c r="BX16" s="14">
        <v>4.0</v>
      </c>
      <c r="BY16" s="14">
        <v>4.0</v>
      </c>
      <c r="BZ16" s="14">
        <v>4.0</v>
      </c>
    </row>
    <row r="17" ht="22.5" customHeight="1">
      <c r="A17" s="13">
        <v>46247.64191365741</v>
      </c>
      <c r="B17" s="14" t="s">
        <v>162</v>
      </c>
      <c r="C17" s="14" t="s">
        <v>250</v>
      </c>
      <c r="D17" s="14">
        <v>2015.0</v>
      </c>
      <c r="E17" s="14" t="s">
        <v>239</v>
      </c>
      <c r="F17" s="14" t="s">
        <v>251</v>
      </c>
      <c r="G17" s="14">
        <v>5.0</v>
      </c>
      <c r="H17" s="14">
        <v>4.0</v>
      </c>
      <c r="I17" s="14">
        <v>1.0</v>
      </c>
      <c r="J17" s="14">
        <v>5.0</v>
      </c>
      <c r="K17" s="14">
        <v>5.0</v>
      </c>
      <c r="L17" s="14">
        <v>2.0</v>
      </c>
      <c r="M17" s="14">
        <v>5.0</v>
      </c>
      <c r="N17" s="14">
        <v>4.0</v>
      </c>
      <c r="O17" s="14">
        <v>4.0</v>
      </c>
      <c r="P17" s="14">
        <v>4.0</v>
      </c>
      <c r="Q17" s="14">
        <v>4.0</v>
      </c>
      <c r="R17" s="14">
        <v>5.0</v>
      </c>
      <c r="S17" s="14">
        <v>4.0</v>
      </c>
      <c r="T17" s="14">
        <v>5.0</v>
      </c>
      <c r="U17" s="14">
        <v>2.0</v>
      </c>
      <c r="V17" s="14">
        <v>2.0</v>
      </c>
      <c r="W17" s="14">
        <v>5.0</v>
      </c>
      <c r="X17" s="14">
        <v>5.0</v>
      </c>
      <c r="Y17" s="14">
        <v>5.0</v>
      </c>
      <c r="Z17" s="14">
        <v>5.0</v>
      </c>
      <c r="AA17" s="14">
        <v>5.0</v>
      </c>
      <c r="AB17" s="14">
        <v>5.0</v>
      </c>
      <c r="AC17" s="14">
        <v>5.0</v>
      </c>
      <c r="AD17" s="14">
        <v>4.0</v>
      </c>
      <c r="AE17" s="14">
        <v>2.0</v>
      </c>
      <c r="AF17" s="14">
        <v>1.0</v>
      </c>
      <c r="AG17" s="14">
        <v>4.0</v>
      </c>
      <c r="AH17" s="14">
        <v>5.0</v>
      </c>
      <c r="AI17" s="14">
        <v>5.0</v>
      </c>
      <c r="AJ17" s="14">
        <v>5.0</v>
      </c>
      <c r="AK17" s="14">
        <v>5.0</v>
      </c>
      <c r="AL17" s="14">
        <v>5.0</v>
      </c>
      <c r="AM17" s="14">
        <v>1.0</v>
      </c>
      <c r="AN17" s="14">
        <v>5.0</v>
      </c>
      <c r="AO17" s="14">
        <v>5.0</v>
      </c>
      <c r="AP17" s="14">
        <v>3.0</v>
      </c>
      <c r="AQ17" s="14">
        <v>4.0</v>
      </c>
      <c r="AR17" s="14">
        <v>1.0</v>
      </c>
      <c r="AS17" s="14">
        <v>5.0</v>
      </c>
      <c r="AT17" s="14">
        <v>4.0</v>
      </c>
      <c r="AU17" s="14">
        <v>4.0</v>
      </c>
      <c r="AV17" s="14">
        <v>5.0</v>
      </c>
      <c r="AW17" s="14">
        <v>5.0</v>
      </c>
      <c r="AX17" s="14">
        <v>3.0</v>
      </c>
      <c r="AY17" s="14">
        <v>1.0</v>
      </c>
      <c r="AZ17" s="14">
        <v>3.0</v>
      </c>
      <c r="BA17" s="14">
        <v>4.0</v>
      </c>
      <c r="BB17" s="14">
        <v>5.0</v>
      </c>
      <c r="BC17" s="14">
        <v>5.0</v>
      </c>
      <c r="BD17" s="14">
        <v>3.0</v>
      </c>
      <c r="BE17" s="14">
        <v>1.0</v>
      </c>
      <c r="BF17" s="14">
        <v>4.0</v>
      </c>
      <c r="BG17" s="14">
        <v>5.0</v>
      </c>
      <c r="BH17" s="14">
        <v>5.0</v>
      </c>
      <c r="BI17" s="14">
        <v>5.0</v>
      </c>
      <c r="BJ17" s="14">
        <v>3.0</v>
      </c>
      <c r="BK17" s="14">
        <v>3.0</v>
      </c>
      <c r="BL17" s="14">
        <v>1.0</v>
      </c>
      <c r="BM17" s="14">
        <v>4.0</v>
      </c>
      <c r="BN17" s="14">
        <v>3.0</v>
      </c>
      <c r="BO17" s="14">
        <v>5.0</v>
      </c>
      <c r="BP17" s="14">
        <v>4.0</v>
      </c>
      <c r="BQ17" s="14">
        <v>4.0</v>
      </c>
      <c r="BR17" s="14">
        <v>5.0</v>
      </c>
      <c r="BS17" s="14">
        <v>3.0</v>
      </c>
      <c r="BT17" s="14">
        <v>4.0</v>
      </c>
      <c r="BU17" s="14">
        <v>5.0</v>
      </c>
      <c r="BV17" s="14">
        <v>3.0</v>
      </c>
      <c r="BW17" s="14">
        <v>4.0</v>
      </c>
      <c r="BX17" s="14">
        <v>3.0</v>
      </c>
      <c r="BY17" s="14">
        <v>5.0</v>
      </c>
      <c r="BZ17" s="14">
        <v>5.0</v>
      </c>
    </row>
    <row r="18" ht="22.5" customHeight="1">
      <c r="A18" s="13">
        <v>46247.71310690972</v>
      </c>
      <c r="B18" s="14" t="s">
        <v>162</v>
      </c>
      <c r="C18" s="14" t="s">
        <v>207</v>
      </c>
      <c r="D18" s="14">
        <v>1.0</v>
      </c>
      <c r="E18" s="14">
        <v>1.0</v>
      </c>
      <c r="F18" s="14" t="s">
        <v>208</v>
      </c>
      <c r="G18" s="14">
        <v>5.0</v>
      </c>
      <c r="H18" s="14">
        <v>5.0</v>
      </c>
      <c r="I18" s="14">
        <v>5.0</v>
      </c>
      <c r="J18" s="14">
        <v>5.0</v>
      </c>
      <c r="K18" s="14">
        <v>5.0</v>
      </c>
      <c r="L18" s="14">
        <v>5.0</v>
      </c>
      <c r="M18" s="14">
        <v>5.0</v>
      </c>
      <c r="N18" s="14">
        <v>5.0</v>
      </c>
      <c r="O18" s="14">
        <v>5.0</v>
      </c>
      <c r="P18" s="14">
        <v>5.0</v>
      </c>
      <c r="Q18" s="14">
        <v>5.0</v>
      </c>
      <c r="R18" s="14">
        <v>5.0</v>
      </c>
      <c r="S18" s="14">
        <v>5.0</v>
      </c>
      <c r="T18" s="14">
        <v>5.0</v>
      </c>
      <c r="U18" s="14">
        <v>5.0</v>
      </c>
      <c r="V18" s="14">
        <v>5.0</v>
      </c>
      <c r="W18" s="14">
        <v>5.0</v>
      </c>
      <c r="X18" s="14">
        <v>5.0</v>
      </c>
      <c r="Y18" s="14">
        <v>5.0</v>
      </c>
      <c r="Z18" s="14">
        <v>5.0</v>
      </c>
      <c r="AA18" s="14">
        <v>5.0</v>
      </c>
      <c r="AB18" s="14">
        <v>5.0</v>
      </c>
      <c r="AC18" s="14">
        <v>5.0</v>
      </c>
      <c r="AD18" s="14">
        <v>5.0</v>
      </c>
      <c r="AE18" s="14">
        <v>5.0</v>
      </c>
      <c r="AF18" s="14">
        <v>5.0</v>
      </c>
      <c r="AG18" s="14">
        <v>5.0</v>
      </c>
      <c r="AH18" s="14">
        <v>5.0</v>
      </c>
      <c r="AI18" s="14">
        <v>5.0</v>
      </c>
      <c r="AJ18" s="14">
        <v>5.0</v>
      </c>
      <c r="AK18" s="14">
        <v>5.0</v>
      </c>
      <c r="AL18" s="14">
        <v>5.0</v>
      </c>
      <c r="AM18" s="14">
        <v>5.0</v>
      </c>
      <c r="AN18" s="14">
        <v>5.0</v>
      </c>
      <c r="AO18" s="14">
        <v>5.0</v>
      </c>
      <c r="AP18" s="14">
        <v>5.0</v>
      </c>
      <c r="AQ18" s="14">
        <v>5.0</v>
      </c>
      <c r="AR18" s="14">
        <v>5.0</v>
      </c>
      <c r="AS18" s="14">
        <v>5.0</v>
      </c>
      <c r="AT18" s="14">
        <v>5.0</v>
      </c>
      <c r="AU18" s="14">
        <v>5.0</v>
      </c>
      <c r="AV18" s="14">
        <v>5.0</v>
      </c>
      <c r="AW18" s="14">
        <v>5.0</v>
      </c>
      <c r="AX18" s="14">
        <v>5.0</v>
      </c>
      <c r="AY18" s="14">
        <v>5.0</v>
      </c>
      <c r="AZ18" s="14">
        <v>5.0</v>
      </c>
      <c r="BA18" s="14">
        <v>5.0</v>
      </c>
      <c r="BB18" s="14">
        <v>5.0</v>
      </c>
      <c r="BC18" s="14">
        <v>5.0</v>
      </c>
      <c r="BD18" s="14">
        <v>5.0</v>
      </c>
      <c r="BE18" s="14">
        <v>5.0</v>
      </c>
      <c r="BF18" s="14">
        <v>5.0</v>
      </c>
      <c r="BG18" s="14">
        <v>5.0</v>
      </c>
      <c r="BH18" s="14">
        <v>5.0</v>
      </c>
      <c r="BI18" s="14">
        <v>5.0</v>
      </c>
      <c r="BJ18" s="14">
        <v>5.0</v>
      </c>
      <c r="BK18" s="14">
        <v>5.0</v>
      </c>
      <c r="BL18" s="14">
        <v>5.0</v>
      </c>
      <c r="BM18" s="14">
        <v>5.0</v>
      </c>
      <c r="BN18" s="14">
        <v>5.0</v>
      </c>
      <c r="BO18" s="14">
        <v>5.0</v>
      </c>
      <c r="BP18" s="14">
        <v>5.0</v>
      </c>
      <c r="BQ18" s="14">
        <v>5.0</v>
      </c>
      <c r="BR18" s="14">
        <v>5.0</v>
      </c>
      <c r="BS18" s="14">
        <v>5.0</v>
      </c>
      <c r="BT18" s="14">
        <v>5.0</v>
      </c>
      <c r="BU18" s="14">
        <v>5.0</v>
      </c>
      <c r="BV18" s="14">
        <v>5.0</v>
      </c>
      <c r="BW18" s="14">
        <v>5.0</v>
      </c>
      <c r="BX18" s="14">
        <v>5.0</v>
      </c>
      <c r="BY18" s="14">
        <v>5.0</v>
      </c>
      <c r="BZ18" s="14">
        <v>5.0</v>
      </c>
    </row>
    <row r="19" ht="22.5" customHeight="1">
      <c r="A19" s="13">
        <v>46247.71480162037</v>
      </c>
      <c r="B19" s="14" t="s">
        <v>162</v>
      </c>
      <c r="C19" s="14" t="s">
        <v>238</v>
      </c>
      <c r="D19" s="14">
        <v>2025.0</v>
      </c>
      <c r="E19" s="14" t="s">
        <v>239</v>
      </c>
      <c r="F19" s="14" t="s">
        <v>240</v>
      </c>
      <c r="G19" s="14">
        <v>5.0</v>
      </c>
      <c r="H19" s="14">
        <v>5.0</v>
      </c>
      <c r="I19" s="14">
        <v>1.0</v>
      </c>
      <c r="J19" s="14">
        <v>5.0</v>
      </c>
      <c r="K19" s="14">
        <v>5.0</v>
      </c>
      <c r="L19" s="14">
        <v>5.0</v>
      </c>
      <c r="M19" s="14">
        <v>5.0</v>
      </c>
      <c r="N19" s="14">
        <v>5.0</v>
      </c>
      <c r="O19" s="14">
        <v>5.0</v>
      </c>
      <c r="P19" s="14">
        <v>5.0</v>
      </c>
      <c r="Q19" s="14">
        <v>5.0</v>
      </c>
      <c r="R19" s="14">
        <v>5.0</v>
      </c>
      <c r="S19" s="14">
        <v>5.0</v>
      </c>
      <c r="T19" s="14">
        <v>5.0</v>
      </c>
      <c r="U19" s="14">
        <v>2.0</v>
      </c>
      <c r="V19" s="14">
        <v>5.0</v>
      </c>
      <c r="W19" s="14">
        <v>5.0</v>
      </c>
      <c r="X19" s="14">
        <v>5.0</v>
      </c>
      <c r="Y19" s="14">
        <v>5.0</v>
      </c>
      <c r="Z19" s="14">
        <v>5.0</v>
      </c>
      <c r="AA19" s="14">
        <v>5.0</v>
      </c>
      <c r="AB19" s="14">
        <v>5.0</v>
      </c>
      <c r="AC19" s="14">
        <v>5.0</v>
      </c>
      <c r="AD19" s="14">
        <v>5.0</v>
      </c>
      <c r="AE19" s="14">
        <v>2.0</v>
      </c>
      <c r="AF19" s="14">
        <v>5.0</v>
      </c>
      <c r="AG19" s="14">
        <v>5.0</v>
      </c>
      <c r="AH19" s="14">
        <v>5.0</v>
      </c>
      <c r="AI19" s="14">
        <v>5.0</v>
      </c>
      <c r="AJ19" s="14">
        <v>5.0</v>
      </c>
      <c r="AK19" s="14">
        <v>2.0</v>
      </c>
      <c r="AL19" s="14">
        <v>5.0</v>
      </c>
      <c r="AM19" s="14">
        <v>5.0</v>
      </c>
      <c r="AN19" s="14">
        <v>5.0</v>
      </c>
      <c r="AO19" s="14">
        <v>5.0</v>
      </c>
      <c r="AP19" s="14">
        <v>2.0</v>
      </c>
      <c r="AQ19" s="14">
        <v>2.0</v>
      </c>
      <c r="AR19" s="14">
        <v>5.0</v>
      </c>
      <c r="AS19" s="14">
        <v>5.0</v>
      </c>
      <c r="AT19" s="14">
        <v>5.0</v>
      </c>
      <c r="AU19" s="14">
        <v>5.0</v>
      </c>
      <c r="AV19" s="14">
        <v>5.0</v>
      </c>
      <c r="AW19" s="14">
        <v>2.0</v>
      </c>
      <c r="AX19" s="14">
        <v>2.0</v>
      </c>
      <c r="AY19" s="14">
        <v>2.0</v>
      </c>
      <c r="AZ19" s="14">
        <v>5.0</v>
      </c>
      <c r="BA19" s="14">
        <v>5.0</v>
      </c>
      <c r="BB19" s="14">
        <v>5.0</v>
      </c>
      <c r="BC19" s="14">
        <v>4.0</v>
      </c>
      <c r="BD19" s="14">
        <v>5.0</v>
      </c>
      <c r="BE19" s="14">
        <v>2.0</v>
      </c>
      <c r="BF19" s="14">
        <v>5.0</v>
      </c>
      <c r="BG19" s="14">
        <v>5.0</v>
      </c>
      <c r="BH19" s="14">
        <v>5.0</v>
      </c>
      <c r="BI19" s="14">
        <v>5.0</v>
      </c>
      <c r="BJ19" s="14">
        <v>5.0</v>
      </c>
      <c r="BK19" s="14">
        <v>3.0</v>
      </c>
      <c r="BL19" s="14">
        <v>5.0</v>
      </c>
      <c r="BM19" s="14">
        <v>5.0</v>
      </c>
      <c r="BN19" s="14">
        <v>5.0</v>
      </c>
      <c r="BO19" s="14">
        <v>5.0</v>
      </c>
      <c r="BP19" s="14">
        <v>4.0</v>
      </c>
      <c r="BQ19" s="14">
        <v>5.0</v>
      </c>
      <c r="BR19" s="14">
        <v>5.0</v>
      </c>
      <c r="BS19" s="14">
        <v>5.0</v>
      </c>
      <c r="BT19" s="14">
        <v>5.0</v>
      </c>
      <c r="BU19" s="14">
        <v>5.0</v>
      </c>
      <c r="BV19" s="14">
        <v>3.0</v>
      </c>
      <c r="BW19" s="14">
        <v>3.0</v>
      </c>
      <c r="BX19" s="14">
        <v>5.0</v>
      </c>
      <c r="BY19" s="14">
        <v>5.0</v>
      </c>
      <c r="BZ19" s="14">
        <v>5.0</v>
      </c>
    </row>
    <row r="20" ht="22.5" customHeight="1">
      <c r="A20" s="13">
        <v>46247.71480548611</v>
      </c>
      <c r="B20" s="14" t="s">
        <v>162</v>
      </c>
      <c r="C20" s="14" t="s">
        <v>244</v>
      </c>
      <c r="D20" s="14">
        <v>2025.0</v>
      </c>
      <c r="E20" s="14" t="s">
        <v>245</v>
      </c>
      <c r="F20" s="14" t="s">
        <v>246</v>
      </c>
      <c r="G20" s="14">
        <v>4.0</v>
      </c>
      <c r="H20" s="14">
        <v>4.0</v>
      </c>
      <c r="I20" s="14">
        <v>4.0</v>
      </c>
      <c r="J20" s="14">
        <v>4.0</v>
      </c>
      <c r="K20" s="14">
        <v>4.0</v>
      </c>
      <c r="L20" s="14">
        <v>4.0</v>
      </c>
      <c r="M20" s="14">
        <v>4.0</v>
      </c>
      <c r="N20" s="14">
        <v>4.0</v>
      </c>
      <c r="O20" s="14">
        <v>4.0</v>
      </c>
      <c r="P20" s="14">
        <v>4.0</v>
      </c>
      <c r="Q20" s="14">
        <v>4.0</v>
      </c>
      <c r="R20" s="14">
        <v>4.0</v>
      </c>
      <c r="S20" s="14">
        <v>4.0</v>
      </c>
      <c r="T20" s="14">
        <v>4.0</v>
      </c>
      <c r="U20" s="14">
        <v>4.0</v>
      </c>
      <c r="V20" s="14">
        <v>4.0</v>
      </c>
      <c r="W20" s="14">
        <v>4.0</v>
      </c>
      <c r="X20" s="14">
        <v>4.0</v>
      </c>
      <c r="Y20" s="14">
        <v>4.0</v>
      </c>
      <c r="Z20" s="14">
        <v>4.0</v>
      </c>
      <c r="AA20" s="14">
        <v>4.0</v>
      </c>
      <c r="AB20" s="14">
        <v>4.0</v>
      </c>
      <c r="AC20" s="14">
        <v>4.0</v>
      </c>
      <c r="AD20" s="14">
        <v>4.0</v>
      </c>
      <c r="AE20" s="14">
        <v>4.0</v>
      </c>
      <c r="AF20" s="14">
        <v>4.0</v>
      </c>
      <c r="AG20" s="14">
        <v>4.0</v>
      </c>
      <c r="AH20" s="14">
        <v>4.0</v>
      </c>
      <c r="AI20" s="14">
        <v>4.0</v>
      </c>
      <c r="AJ20" s="14">
        <v>4.0</v>
      </c>
      <c r="AK20" s="14">
        <v>4.0</v>
      </c>
      <c r="AL20" s="14">
        <v>4.0</v>
      </c>
      <c r="AM20" s="14">
        <v>4.0</v>
      </c>
      <c r="AN20" s="14">
        <v>4.0</v>
      </c>
      <c r="AO20" s="14">
        <v>4.0</v>
      </c>
      <c r="AP20" s="14">
        <v>4.0</v>
      </c>
      <c r="AQ20" s="14">
        <v>4.0</v>
      </c>
      <c r="AR20" s="14">
        <v>4.0</v>
      </c>
      <c r="AS20" s="14">
        <v>4.0</v>
      </c>
      <c r="AT20" s="14">
        <v>4.0</v>
      </c>
      <c r="AU20" s="14">
        <v>4.0</v>
      </c>
      <c r="AV20" s="14">
        <v>4.0</v>
      </c>
      <c r="AW20" s="14">
        <v>4.0</v>
      </c>
      <c r="AX20" s="14">
        <v>4.0</v>
      </c>
      <c r="AY20" s="14">
        <v>4.0</v>
      </c>
      <c r="AZ20" s="14">
        <v>4.0</v>
      </c>
      <c r="BA20" s="14">
        <v>4.0</v>
      </c>
      <c r="BB20" s="14">
        <v>4.0</v>
      </c>
      <c r="BC20" s="14">
        <v>4.0</v>
      </c>
      <c r="BD20" s="14">
        <v>4.0</v>
      </c>
      <c r="BE20" s="14">
        <v>4.0</v>
      </c>
      <c r="BF20" s="14">
        <v>4.0</v>
      </c>
      <c r="BG20" s="14">
        <v>4.0</v>
      </c>
      <c r="BH20" s="14">
        <v>4.0</v>
      </c>
      <c r="BI20" s="14">
        <v>4.0</v>
      </c>
      <c r="BJ20" s="14">
        <v>4.0</v>
      </c>
      <c r="BK20" s="14">
        <v>4.0</v>
      </c>
      <c r="BL20" s="14">
        <v>4.0</v>
      </c>
      <c r="BM20" s="14">
        <v>4.0</v>
      </c>
      <c r="BN20" s="14">
        <v>4.0</v>
      </c>
      <c r="BO20" s="14">
        <v>4.0</v>
      </c>
      <c r="BP20" s="14">
        <v>4.0</v>
      </c>
      <c r="BQ20" s="14">
        <v>4.0</v>
      </c>
      <c r="BR20" s="14">
        <v>4.0</v>
      </c>
      <c r="BS20" s="14">
        <v>4.0</v>
      </c>
      <c r="BT20" s="14">
        <v>4.0</v>
      </c>
      <c r="BU20" s="14">
        <v>4.0</v>
      </c>
      <c r="BV20" s="14">
        <v>4.0</v>
      </c>
      <c r="BW20" s="14">
        <v>4.0</v>
      </c>
      <c r="BX20" s="14">
        <v>4.0</v>
      </c>
      <c r="BY20" s="14">
        <v>4.0</v>
      </c>
      <c r="BZ20" s="14">
        <v>4.0</v>
      </c>
    </row>
    <row r="21" ht="22.5" customHeight="1">
      <c r="A21" s="13">
        <v>46247.71504826389</v>
      </c>
      <c r="B21" s="14" t="s">
        <v>162</v>
      </c>
      <c r="C21" s="14" t="s">
        <v>224</v>
      </c>
      <c r="D21" s="14">
        <v>2006.0</v>
      </c>
      <c r="E21" s="14" t="s">
        <v>225</v>
      </c>
      <c r="F21" s="14" t="s">
        <v>226</v>
      </c>
      <c r="G21" s="14">
        <v>1.0</v>
      </c>
      <c r="H21" s="14">
        <v>2.0</v>
      </c>
      <c r="I21" s="14">
        <v>3.0</v>
      </c>
      <c r="J21" s="14">
        <v>4.0</v>
      </c>
      <c r="K21" s="14">
        <v>3.0</v>
      </c>
      <c r="L21" s="14">
        <v>2.0</v>
      </c>
      <c r="M21" s="14">
        <v>1.0</v>
      </c>
      <c r="N21" s="14">
        <v>2.0</v>
      </c>
      <c r="O21" s="14">
        <v>3.0</v>
      </c>
      <c r="P21" s="14">
        <v>4.0</v>
      </c>
      <c r="Q21" s="14">
        <v>3.0</v>
      </c>
      <c r="R21" s="14">
        <v>2.0</v>
      </c>
      <c r="S21" s="14">
        <v>1.0</v>
      </c>
      <c r="T21" s="14">
        <v>2.0</v>
      </c>
      <c r="U21" s="14">
        <v>4.0</v>
      </c>
      <c r="V21" s="14">
        <v>3.0</v>
      </c>
      <c r="W21" s="14">
        <v>2.0</v>
      </c>
      <c r="X21" s="14">
        <v>1.0</v>
      </c>
      <c r="Y21" s="14">
        <v>2.0</v>
      </c>
      <c r="Z21" s="14">
        <v>3.0</v>
      </c>
      <c r="AA21" s="14">
        <v>4.0</v>
      </c>
      <c r="AB21" s="14">
        <v>2.0</v>
      </c>
      <c r="AC21" s="14">
        <v>1.0</v>
      </c>
      <c r="AD21" s="14">
        <v>2.0</v>
      </c>
      <c r="AE21" s="14">
        <v>3.0</v>
      </c>
      <c r="AF21" s="14">
        <v>4.0</v>
      </c>
      <c r="AG21" s="14">
        <v>3.0</v>
      </c>
      <c r="AH21" s="14">
        <v>2.0</v>
      </c>
      <c r="AI21" s="14">
        <v>1.0</v>
      </c>
      <c r="AJ21" s="14">
        <v>2.0</v>
      </c>
      <c r="AK21" s="14">
        <v>3.0</v>
      </c>
      <c r="AL21" s="14">
        <v>4.0</v>
      </c>
      <c r="AM21" s="14">
        <v>3.0</v>
      </c>
      <c r="AN21" s="14">
        <v>2.0</v>
      </c>
      <c r="AO21" s="14">
        <v>1.0</v>
      </c>
      <c r="AP21" s="14">
        <v>2.0</v>
      </c>
      <c r="AQ21" s="14">
        <v>3.0</v>
      </c>
      <c r="AR21" s="14">
        <v>4.0</v>
      </c>
      <c r="AS21" s="14">
        <v>3.0</v>
      </c>
      <c r="AT21" s="14">
        <v>2.0</v>
      </c>
      <c r="AU21" s="14">
        <v>1.0</v>
      </c>
      <c r="AV21" s="14">
        <v>2.0</v>
      </c>
      <c r="AW21" s="14">
        <v>3.0</v>
      </c>
      <c r="AX21" s="14">
        <v>4.0</v>
      </c>
      <c r="AY21" s="14">
        <v>3.0</v>
      </c>
      <c r="AZ21" s="14">
        <v>2.0</v>
      </c>
      <c r="BA21" s="14">
        <v>1.0</v>
      </c>
      <c r="BB21" s="14">
        <v>2.0</v>
      </c>
      <c r="BC21" s="14">
        <v>4.0</v>
      </c>
      <c r="BD21" s="14">
        <v>3.0</v>
      </c>
      <c r="BE21" s="14">
        <v>2.0</v>
      </c>
      <c r="BF21" s="14">
        <v>1.0</v>
      </c>
      <c r="BG21" s="14">
        <v>2.0</v>
      </c>
      <c r="BH21" s="14">
        <v>3.0</v>
      </c>
      <c r="BI21" s="14">
        <v>4.0</v>
      </c>
      <c r="BJ21" s="14">
        <v>3.0</v>
      </c>
      <c r="BK21" s="14">
        <v>2.0</v>
      </c>
      <c r="BL21" s="14">
        <v>1.0</v>
      </c>
      <c r="BM21" s="14">
        <v>2.0</v>
      </c>
      <c r="BN21" s="14">
        <v>3.0</v>
      </c>
      <c r="BO21" s="14">
        <v>4.0</v>
      </c>
      <c r="BP21" s="14">
        <v>3.0</v>
      </c>
      <c r="BQ21" s="14">
        <v>2.0</v>
      </c>
      <c r="BR21" s="14">
        <v>1.0</v>
      </c>
      <c r="BS21" s="14">
        <v>2.0</v>
      </c>
      <c r="BT21" s="14">
        <v>3.0</v>
      </c>
      <c r="BU21" s="14">
        <v>4.0</v>
      </c>
      <c r="BV21" s="14">
        <v>3.0</v>
      </c>
      <c r="BW21" s="14">
        <v>2.0</v>
      </c>
      <c r="BX21" s="14">
        <v>1.0</v>
      </c>
      <c r="BY21" s="14">
        <v>2.0</v>
      </c>
      <c r="BZ21" s="14">
        <v>4.0</v>
      </c>
    </row>
    <row r="22" ht="22.5" customHeight="1">
      <c r="A22" s="13">
        <v>46247.76422150463</v>
      </c>
      <c r="B22" s="14" t="s">
        <v>162</v>
      </c>
      <c r="C22" s="14" t="s">
        <v>265</v>
      </c>
      <c r="D22" s="14">
        <v>2021.0</v>
      </c>
      <c r="E22" s="14" t="s">
        <v>266</v>
      </c>
      <c r="F22" s="14" t="s">
        <v>267</v>
      </c>
      <c r="G22" s="14">
        <v>4.0</v>
      </c>
      <c r="H22" s="14">
        <v>4.0</v>
      </c>
      <c r="I22" s="14">
        <v>2.0</v>
      </c>
      <c r="J22" s="14">
        <v>5.0</v>
      </c>
      <c r="K22" s="14">
        <v>5.0</v>
      </c>
      <c r="L22" s="14">
        <v>4.0</v>
      </c>
      <c r="M22" s="14">
        <v>4.0</v>
      </c>
      <c r="N22" s="14">
        <v>5.0</v>
      </c>
      <c r="O22" s="14">
        <v>4.0</v>
      </c>
      <c r="P22" s="14">
        <v>5.0</v>
      </c>
      <c r="Q22" s="14">
        <v>5.0</v>
      </c>
      <c r="R22" s="14">
        <v>5.0</v>
      </c>
      <c r="S22" s="14">
        <v>3.0</v>
      </c>
      <c r="T22" s="14">
        <v>4.0</v>
      </c>
      <c r="U22" s="14">
        <v>2.0</v>
      </c>
      <c r="V22" s="14">
        <v>5.0</v>
      </c>
      <c r="W22" s="14">
        <v>5.0</v>
      </c>
      <c r="X22" s="14">
        <v>3.0</v>
      </c>
      <c r="Y22" s="14">
        <v>4.0</v>
      </c>
      <c r="Z22" s="14">
        <v>3.0</v>
      </c>
      <c r="AA22" s="14">
        <v>2.0</v>
      </c>
      <c r="AB22" s="14">
        <v>4.0</v>
      </c>
      <c r="AC22" s="14">
        <v>5.0</v>
      </c>
      <c r="AD22" s="14">
        <v>4.0</v>
      </c>
      <c r="AE22" s="14">
        <v>3.0</v>
      </c>
      <c r="AF22" s="14">
        <v>5.0</v>
      </c>
      <c r="AG22" s="14">
        <v>4.0</v>
      </c>
      <c r="AH22" s="14">
        <v>5.0</v>
      </c>
      <c r="AI22" s="14">
        <v>5.0</v>
      </c>
      <c r="AJ22" s="14">
        <v>5.0</v>
      </c>
      <c r="AK22" s="14">
        <v>4.0</v>
      </c>
      <c r="AL22" s="14">
        <v>4.0</v>
      </c>
      <c r="AM22" s="14">
        <v>3.0</v>
      </c>
      <c r="AN22" s="14">
        <v>5.0</v>
      </c>
      <c r="AO22" s="14">
        <v>5.0</v>
      </c>
      <c r="AP22" s="14">
        <v>3.0</v>
      </c>
      <c r="AQ22" s="14">
        <v>3.0</v>
      </c>
      <c r="AR22" s="14">
        <v>3.0</v>
      </c>
      <c r="AS22" s="14">
        <v>5.0</v>
      </c>
      <c r="AT22" s="14">
        <v>4.0</v>
      </c>
      <c r="AU22" s="14">
        <v>5.0</v>
      </c>
      <c r="AV22" s="14">
        <v>5.0</v>
      </c>
      <c r="AW22" s="14">
        <v>3.0</v>
      </c>
      <c r="AX22" s="14">
        <v>4.0</v>
      </c>
      <c r="AY22" s="14">
        <v>4.0</v>
      </c>
      <c r="AZ22" s="14">
        <v>4.0</v>
      </c>
      <c r="BA22" s="14">
        <v>4.0</v>
      </c>
      <c r="BB22" s="14">
        <v>5.0</v>
      </c>
      <c r="BC22" s="14">
        <v>4.0</v>
      </c>
      <c r="BD22" s="14">
        <v>4.0</v>
      </c>
      <c r="BE22" s="14">
        <v>3.0</v>
      </c>
      <c r="BF22" s="14">
        <v>5.0</v>
      </c>
      <c r="BG22" s="14">
        <v>5.0</v>
      </c>
      <c r="BH22" s="14">
        <v>5.0</v>
      </c>
      <c r="BI22" s="14">
        <v>4.0</v>
      </c>
      <c r="BJ22" s="14">
        <v>4.0</v>
      </c>
      <c r="BK22" s="14">
        <v>4.0</v>
      </c>
      <c r="BL22" s="14">
        <v>4.0</v>
      </c>
      <c r="BM22" s="14">
        <v>5.0</v>
      </c>
      <c r="BN22" s="14">
        <v>5.0</v>
      </c>
      <c r="BO22" s="14">
        <v>4.0</v>
      </c>
      <c r="BP22" s="14">
        <v>3.0</v>
      </c>
      <c r="BQ22" s="14">
        <v>5.0</v>
      </c>
      <c r="BR22" s="14">
        <v>5.0</v>
      </c>
      <c r="BS22" s="14">
        <v>4.0</v>
      </c>
      <c r="BT22" s="14">
        <v>5.0</v>
      </c>
      <c r="BU22" s="14">
        <v>4.0</v>
      </c>
      <c r="BV22" s="14">
        <v>4.0</v>
      </c>
      <c r="BW22" s="14">
        <v>4.0</v>
      </c>
      <c r="BX22" s="14">
        <v>5.0</v>
      </c>
      <c r="BY22" s="14">
        <v>4.0</v>
      </c>
      <c r="BZ22" s="14">
        <v>5.0</v>
      </c>
    </row>
    <row r="23" ht="22.5" customHeight="1">
      <c r="A23" s="13">
        <v>46247.79421261574</v>
      </c>
      <c r="B23" s="14" t="s">
        <v>162</v>
      </c>
      <c r="C23" s="14" t="s">
        <v>271</v>
      </c>
      <c r="D23" s="14">
        <v>2507.0</v>
      </c>
      <c r="E23" s="14" t="s">
        <v>173</v>
      </c>
      <c r="F23" s="14" t="s">
        <v>272</v>
      </c>
      <c r="G23" s="14">
        <v>5.0</v>
      </c>
      <c r="H23" s="14">
        <v>5.0</v>
      </c>
      <c r="I23" s="14">
        <v>3.0</v>
      </c>
      <c r="J23" s="14">
        <v>5.0</v>
      </c>
      <c r="K23" s="14">
        <v>5.0</v>
      </c>
      <c r="L23" s="14">
        <v>4.0</v>
      </c>
      <c r="M23" s="14">
        <v>4.0</v>
      </c>
      <c r="N23" s="14">
        <v>3.0</v>
      </c>
      <c r="O23" s="14">
        <v>5.0</v>
      </c>
      <c r="P23" s="14">
        <v>5.0</v>
      </c>
      <c r="Q23" s="14">
        <v>5.0</v>
      </c>
      <c r="R23" s="14">
        <v>5.0</v>
      </c>
      <c r="S23" s="14">
        <v>5.0</v>
      </c>
      <c r="T23" s="14">
        <v>4.0</v>
      </c>
      <c r="U23" s="14">
        <v>3.0</v>
      </c>
      <c r="V23" s="14">
        <v>5.0</v>
      </c>
      <c r="W23" s="14">
        <v>5.0</v>
      </c>
      <c r="X23" s="14">
        <v>3.0</v>
      </c>
      <c r="Y23" s="14">
        <v>4.0</v>
      </c>
      <c r="Z23" s="14">
        <v>5.0</v>
      </c>
      <c r="AA23" s="14">
        <v>5.0</v>
      </c>
      <c r="AB23" s="14">
        <v>5.0</v>
      </c>
      <c r="AC23" s="14">
        <v>5.0</v>
      </c>
      <c r="AD23" s="14">
        <v>4.0</v>
      </c>
      <c r="AE23" s="14">
        <v>2.0</v>
      </c>
      <c r="AF23" s="14">
        <v>5.0</v>
      </c>
      <c r="AG23" s="14">
        <v>5.0</v>
      </c>
      <c r="AH23" s="14">
        <v>5.0</v>
      </c>
      <c r="AI23" s="14">
        <v>5.0</v>
      </c>
      <c r="AJ23" s="14">
        <v>5.0</v>
      </c>
      <c r="AK23" s="14">
        <v>5.0</v>
      </c>
      <c r="AL23" s="14">
        <v>5.0</v>
      </c>
      <c r="AM23" s="14">
        <v>2.0</v>
      </c>
      <c r="AN23" s="14">
        <v>5.0</v>
      </c>
      <c r="AO23" s="14">
        <v>5.0</v>
      </c>
      <c r="AP23" s="14">
        <v>3.0</v>
      </c>
      <c r="AQ23" s="14">
        <v>5.0</v>
      </c>
      <c r="AR23" s="14">
        <v>5.0</v>
      </c>
      <c r="AS23" s="14">
        <v>5.0</v>
      </c>
      <c r="AT23" s="14">
        <v>5.0</v>
      </c>
      <c r="AU23" s="14">
        <v>5.0</v>
      </c>
      <c r="AV23" s="14">
        <v>5.0</v>
      </c>
      <c r="AW23" s="14">
        <v>3.0</v>
      </c>
      <c r="AX23" s="14">
        <v>3.0</v>
      </c>
      <c r="AY23" s="14">
        <v>5.0</v>
      </c>
      <c r="AZ23" s="14">
        <v>5.0</v>
      </c>
      <c r="BA23" s="14">
        <v>5.0</v>
      </c>
      <c r="BB23" s="14">
        <v>5.0</v>
      </c>
      <c r="BC23" s="14">
        <v>5.0</v>
      </c>
      <c r="BD23" s="14">
        <v>5.0</v>
      </c>
      <c r="BE23" s="14">
        <v>3.0</v>
      </c>
      <c r="BF23" s="14">
        <v>5.0</v>
      </c>
      <c r="BG23" s="14">
        <v>5.0</v>
      </c>
      <c r="BH23" s="14">
        <v>5.0</v>
      </c>
      <c r="BI23" s="14">
        <v>5.0</v>
      </c>
      <c r="BJ23" s="14">
        <v>5.0</v>
      </c>
      <c r="BK23" s="14">
        <v>5.0</v>
      </c>
      <c r="BL23" s="14">
        <v>5.0</v>
      </c>
      <c r="BM23" s="14">
        <v>5.0</v>
      </c>
      <c r="BN23" s="14">
        <v>5.0</v>
      </c>
      <c r="BO23" s="14">
        <v>4.0</v>
      </c>
      <c r="BP23" s="14">
        <v>3.0</v>
      </c>
      <c r="BQ23" s="14">
        <v>5.0</v>
      </c>
      <c r="BR23" s="14">
        <v>5.0</v>
      </c>
      <c r="BS23" s="14">
        <v>5.0</v>
      </c>
      <c r="BT23" s="14">
        <v>5.0</v>
      </c>
      <c r="BU23" s="14">
        <v>4.0</v>
      </c>
      <c r="BV23" s="14">
        <v>5.0</v>
      </c>
      <c r="BW23" s="14">
        <v>4.0</v>
      </c>
      <c r="BX23" s="14">
        <v>4.0</v>
      </c>
      <c r="BY23" s="14">
        <v>5.0</v>
      </c>
      <c r="BZ23" s="14">
        <v>5.0</v>
      </c>
    </row>
    <row r="24" ht="22.5" customHeight="1">
      <c r="A24" s="13">
        <v>46247.794234305555</v>
      </c>
      <c r="B24" s="14" t="s">
        <v>162</v>
      </c>
      <c r="C24" s="14" t="s">
        <v>276</v>
      </c>
      <c r="D24" s="14">
        <v>2026.0</v>
      </c>
      <c r="E24" s="14" t="s">
        <v>277</v>
      </c>
      <c r="F24" s="14" t="s">
        <v>278</v>
      </c>
      <c r="G24" s="14">
        <v>3.0</v>
      </c>
      <c r="H24" s="14">
        <v>3.0</v>
      </c>
      <c r="I24" s="14">
        <v>3.0</v>
      </c>
      <c r="J24" s="14">
        <v>3.0</v>
      </c>
      <c r="K24" s="14">
        <v>3.0</v>
      </c>
      <c r="L24" s="14">
        <v>4.0</v>
      </c>
      <c r="M24" s="14">
        <v>3.0</v>
      </c>
      <c r="N24" s="14">
        <v>3.0</v>
      </c>
      <c r="O24" s="14">
        <v>3.0</v>
      </c>
      <c r="P24" s="14">
        <v>3.0</v>
      </c>
      <c r="Q24" s="14">
        <v>3.0</v>
      </c>
      <c r="R24" s="14">
        <v>3.0</v>
      </c>
      <c r="S24" s="14">
        <v>3.0</v>
      </c>
      <c r="T24" s="14">
        <v>2.0</v>
      </c>
      <c r="U24" s="14">
        <v>3.0</v>
      </c>
      <c r="V24" s="14">
        <v>2.0</v>
      </c>
      <c r="W24" s="14">
        <v>3.0</v>
      </c>
      <c r="X24" s="14">
        <v>3.0</v>
      </c>
      <c r="Y24" s="14">
        <v>4.0</v>
      </c>
      <c r="Z24" s="14">
        <v>4.0</v>
      </c>
      <c r="AA24" s="14">
        <v>3.0</v>
      </c>
      <c r="AB24" s="14">
        <v>3.0</v>
      </c>
      <c r="AC24" s="14">
        <v>3.0</v>
      </c>
      <c r="AD24" s="14">
        <v>3.0</v>
      </c>
      <c r="AE24" s="14">
        <v>3.0</v>
      </c>
      <c r="AF24" s="14">
        <v>3.0</v>
      </c>
      <c r="AG24" s="14">
        <v>3.0</v>
      </c>
      <c r="AH24" s="14">
        <v>3.0</v>
      </c>
      <c r="AI24" s="14">
        <v>3.0</v>
      </c>
      <c r="AJ24" s="14">
        <v>3.0</v>
      </c>
      <c r="AK24" s="14">
        <v>3.0</v>
      </c>
      <c r="AL24" s="14">
        <v>3.0</v>
      </c>
      <c r="AM24" s="14">
        <v>3.0</v>
      </c>
      <c r="AN24" s="14">
        <v>3.0</v>
      </c>
      <c r="AO24" s="14">
        <v>3.0</v>
      </c>
      <c r="AP24" s="14">
        <v>3.0</v>
      </c>
      <c r="AQ24" s="14">
        <v>3.0</v>
      </c>
      <c r="AR24" s="14">
        <v>3.0</v>
      </c>
      <c r="AS24" s="14">
        <v>3.0</v>
      </c>
      <c r="AT24" s="14">
        <v>3.0</v>
      </c>
      <c r="AU24" s="14">
        <v>3.0</v>
      </c>
      <c r="AV24" s="14">
        <v>3.0</v>
      </c>
      <c r="AW24" s="14">
        <v>3.0</v>
      </c>
      <c r="AX24" s="14">
        <v>3.0</v>
      </c>
      <c r="AY24" s="14">
        <v>3.0</v>
      </c>
      <c r="AZ24" s="14">
        <v>3.0</v>
      </c>
      <c r="BA24" s="14">
        <v>3.0</v>
      </c>
      <c r="BB24" s="14">
        <v>3.0</v>
      </c>
      <c r="BC24" s="14">
        <v>3.0</v>
      </c>
      <c r="BD24" s="14">
        <v>3.0</v>
      </c>
      <c r="BE24" s="14">
        <v>3.0</v>
      </c>
      <c r="BF24" s="14">
        <v>3.0</v>
      </c>
      <c r="BG24" s="14">
        <v>3.0</v>
      </c>
      <c r="BH24" s="14">
        <v>3.0</v>
      </c>
      <c r="BI24" s="14">
        <v>3.0</v>
      </c>
      <c r="BJ24" s="14">
        <v>3.0</v>
      </c>
      <c r="BK24" s="14">
        <v>3.0</v>
      </c>
      <c r="BL24" s="14">
        <v>3.0</v>
      </c>
      <c r="BM24" s="14">
        <v>3.0</v>
      </c>
      <c r="BN24" s="14">
        <v>3.0</v>
      </c>
      <c r="BO24" s="14">
        <v>3.0</v>
      </c>
      <c r="BP24" s="14">
        <v>3.0</v>
      </c>
      <c r="BQ24" s="14">
        <v>3.0</v>
      </c>
      <c r="BR24" s="14">
        <v>3.0</v>
      </c>
      <c r="BS24" s="14">
        <v>3.0</v>
      </c>
      <c r="BT24" s="14">
        <v>3.0</v>
      </c>
      <c r="BU24" s="14">
        <v>3.0</v>
      </c>
      <c r="BV24" s="14">
        <v>3.0</v>
      </c>
      <c r="BW24" s="14">
        <v>3.0</v>
      </c>
      <c r="BX24" s="14">
        <v>3.0</v>
      </c>
      <c r="BY24" s="14">
        <v>3.0</v>
      </c>
      <c r="BZ24" s="14">
        <v>3.0</v>
      </c>
    </row>
    <row r="25" ht="22.5" customHeight="1">
      <c r="A25" s="13">
        <v>46247.833876979166</v>
      </c>
      <c r="B25" s="14" t="s">
        <v>162</v>
      </c>
      <c r="C25" s="14" t="s">
        <v>276</v>
      </c>
      <c r="D25" s="14">
        <v>2026.0</v>
      </c>
      <c r="E25" s="14" t="s">
        <v>277</v>
      </c>
      <c r="F25" s="14" t="s">
        <v>278</v>
      </c>
      <c r="G25" s="14">
        <v>4.0</v>
      </c>
      <c r="H25" s="14">
        <v>4.0</v>
      </c>
      <c r="I25" s="14">
        <v>4.0</v>
      </c>
      <c r="J25" s="14">
        <v>4.0</v>
      </c>
      <c r="K25" s="14">
        <v>4.0</v>
      </c>
      <c r="L25" s="14">
        <v>3.0</v>
      </c>
      <c r="M25" s="14">
        <v>2.0</v>
      </c>
      <c r="N25" s="14">
        <v>3.0</v>
      </c>
      <c r="O25" s="14">
        <v>4.0</v>
      </c>
      <c r="P25" s="14">
        <v>3.0</v>
      </c>
      <c r="Q25" s="14">
        <v>4.0</v>
      </c>
      <c r="R25" s="14">
        <v>3.0</v>
      </c>
      <c r="S25" s="14">
        <v>4.0</v>
      </c>
      <c r="T25" s="14">
        <v>3.0</v>
      </c>
      <c r="U25" s="14">
        <v>4.0</v>
      </c>
      <c r="V25" s="14">
        <v>3.0</v>
      </c>
      <c r="W25" s="14">
        <v>4.0</v>
      </c>
      <c r="X25" s="14">
        <v>3.0</v>
      </c>
      <c r="Y25" s="14">
        <v>4.0</v>
      </c>
      <c r="Z25" s="14">
        <v>3.0</v>
      </c>
      <c r="AA25" s="14">
        <v>4.0</v>
      </c>
      <c r="AB25" s="14">
        <v>3.0</v>
      </c>
      <c r="AC25" s="14">
        <v>4.0</v>
      </c>
      <c r="AD25" s="14">
        <v>3.0</v>
      </c>
      <c r="AE25" s="14">
        <v>4.0</v>
      </c>
      <c r="AF25" s="14">
        <v>3.0</v>
      </c>
      <c r="AG25" s="14">
        <v>4.0</v>
      </c>
      <c r="AH25" s="14">
        <v>3.0</v>
      </c>
      <c r="AI25" s="14">
        <v>4.0</v>
      </c>
      <c r="AJ25" s="14">
        <v>3.0</v>
      </c>
      <c r="AK25" s="14">
        <v>4.0</v>
      </c>
      <c r="AL25" s="14">
        <v>3.0</v>
      </c>
      <c r="AM25" s="14">
        <v>4.0</v>
      </c>
      <c r="AN25" s="14">
        <v>3.0</v>
      </c>
      <c r="AO25" s="14">
        <v>4.0</v>
      </c>
      <c r="AP25" s="14">
        <v>3.0</v>
      </c>
      <c r="AQ25" s="14">
        <v>4.0</v>
      </c>
      <c r="AR25" s="14">
        <v>3.0</v>
      </c>
      <c r="AS25" s="14">
        <v>4.0</v>
      </c>
      <c r="AT25" s="14">
        <v>3.0</v>
      </c>
      <c r="AU25" s="14">
        <v>4.0</v>
      </c>
      <c r="AV25" s="14">
        <v>3.0</v>
      </c>
      <c r="AW25" s="14">
        <v>4.0</v>
      </c>
      <c r="AX25" s="14">
        <v>3.0</v>
      </c>
      <c r="AY25" s="14">
        <v>4.0</v>
      </c>
      <c r="AZ25" s="14">
        <v>3.0</v>
      </c>
      <c r="BA25" s="14">
        <v>4.0</v>
      </c>
      <c r="BB25" s="14">
        <v>3.0</v>
      </c>
      <c r="BC25" s="14">
        <v>4.0</v>
      </c>
      <c r="BD25" s="14">
        <v>3.0</v>
      </c>
      <c r="BE25" s="14">
        <v>4.0</v>
      </c>
      <c r="BF25" s="14">
        <v>3.0</v>
      </c>
      <c r="BG25" s="14">
        <v>4.0</v>
      </c>
      <c r="BH25" s="14">
        <v>3.0</v>
      </c>
      <c r="BI25" s="14">
        <v>4.0</v>
      </c>
      <c r="BJ25" s="14">
        <v>3.0</v>
      </c>
      <c r="BK25" s="14">
        <v>4.0</v>
      </c>
      <c r="BL25" s="14">
        <v>4.0</v>
      </c>
      <c r="BM25" s="14">
        <v>3.0</v>
      </c>
      <c r="BN25" s="14">
        <v>4.0</v>
      </c>
      <c r="BO25" s="14">
        <v>3.0</v>
      </c>
      <c r="BP25" s="14">
        <v>3.0</v>
      </c>
      <c r="BQ25" s="14">
        <v>3.0</v>
      </c>
      <c r="BR25" s="14">
        <v>4.0</v>
      </c>
      <c r="BS25" s="14">
        <v>3.0</v>
      </c>
      <c r="BT25" s="14">
        <v>4.0</v>
      </c>
      <c r="BU25" s="14">
        <v>3.0</v>
      </c>
      <c r="BV25" s="14">
        <v>4.0</v>
      </c>
      <c r="BW25" s="14">
        <v>3.0</v>
      </c>
      <c r="BX25" s="14">
        <v>4.0</v>
      </c>
      <c r="BY25" s="14">
        <v>3.0</v>
      </c>
      <c r="BZ25" s="14">
        <v>4.0</v>
      </c>
    </row>
    <row r="26" ht="22.5" customHeight="1">
      <c r="A26" s="13">
        <v>46247.92206840278</v>
      </c>
      <c r="B26" s="14" t="s">
        <v>162</v>
      </c>
      <c r="C26" s="14" t="s">
        <v>285</v>
      </c>
      <c r="D26" s="14">
        <v>2027.0</v>
      </c>
      <c r="E26" s="14" t="s">
        <v>245</v>
      </c>
      <c r="F26" s="14" t="s">
        <v>286</v>
      </c>
      <c r="G26" s="14">
        <v>1.0</v>
      </c>
      <c r="H26" s="14">
        <v>1.0</v>
      </c>
      <c r="I26" s="14">
        <v>3.0</v>
      </c>
      <c r="J26" s="14">
        <v>4.0</v>
      </c>
      <c r="K26" s="14">
        <v>3.0</v>
      </c>
      <c r="L26" s="14">
        <v>2.0</v>
      </c>
      <c r="M26" s="14">
        <v>3.0</v>
      </c>
      <c r="N26" s="14">
        <v>1.0</v>
      </c>
      <c r="O26" s="14">
        <v>1.0</v>
      </c>
      <c r="P26" s="14">
        <v>2.0</v>
      </c>
      <c r="Q26" s="14">
        <v>2.0</v>
      </c>
      <c r="R26" s="14">
        <v>4.0</v>
      </c>
      <c r="S26" s="14">
        <v>2.0</v>
      </c>
      <c r="T26" s="14">
        <v>2.0</v>
      </c>
      <c r="U26" s="14">
        <v>3.0</v>
      </c>
      <c r="V26" s="14">
        <v>4.0</v>
      </c>
      <c r="W26" s="14">
        <v>2.0</v>
      </c>
      <c r="X26" s="14">
        <v>4.0</v>
      </c>
      <c r="Y26" s="14">
        <v>3.0</v>
      </c>
      <c r="Z26" s="14">
        <v>2.0</v>
      </c>
      <c r="AA26" s="14">
        <v>4.0</v>
      </c>
      <c r="AB26" s="14">
        <v>4.0</v>
      </c>
      <c r="AC26" s="14">
        <v>4.0</v>
      </c>
      <c r="AD26" s="14">
        <v>3.0</v>
      </c>
      <c r="AE26" s="14">
        <v>2.0</v>
      </c>
      <c r="AF26" s="14">
        <v>2.0</v>
      </c>
      <c r="AG26" s="14">
        <v>1.0</v>
      </c>
      <c r="AH26" s="14">
        <v>5.0</v>
      </c>
      <c r="AI26" s="14">
        <v>2.0</v>
      </c>
      <c r="AJ26" s="14">
        <v>4.0</v>
      </c>
      <c r="AK26" s="14">
        <v>4.0</v>
      </c>
      <c r="AL26" s="14">
        <v>2.0</v>
      </c>
      <c r="AM26" s="14">
        <v>4.0</v>
      </c>
      <c r="AN26" s="14">
        <v>3.0</v>
      </c>
      <c r="AO26" s="14">
        <v>2.0</v>
      </c>
      <c r="AP26" s="14">
        <v>2.0</v>
      </c>
      <c r="AQ26" s="14">
        <v>3.0</v>
      </c>
      <c r="AR26" s="14">
        <v>2.0</v>
      </c>
      <c r="AS26" s="14">
        <v>3.0</v>
      </c>
      <c r="AT26" s="14">
        <v>4.0</v>
      </c>
      <c r="AU26" s="14">
        <v>4.0</v>
      </c>
      <c r="AV26" s="14">
        <v>4.0</v>
      </c>
      <c r="AW26" s="14">
        <v>2.0</v>
      </c>
      <c r="AX26" s="14">
        <v>4.0</v>
      </c>
      <c r="AY26" s="14">
        <v>2.0</v>
      </c>
      <c r="AZ26" s="14">
        <v>4.0</v>
      </c>
      <c r="BA26" s="14">
        <v>1.0</v>
      </c>
      <c r="BB26" s="14">
        <v>4.0</v>
      </c>
      <c r="BC26" s="14">
        <v>3.0</v>
      </c>
      <c r="BD26" s="14">
        <v>2.0</v>
      </c>
      <c r="BE26" s="14">
        <v>4.0</v>
      </c>
      <c r="BF26" s="14">
        <v>4.0</v>
      </c>
      <c r="BG26" s="14">
        <v>4.0</v>
      </c>
      <c r="BH26" s="14">
        <v>4.0</v>
      </c>
      <c r="BI26" s="14">
        <v>4.0</v>
      </c>
      <c r="BJ26" s="14">
        <v>2.0</v>
      </c>
      <c r="BK26" s="14">
        <v>2.0</v>
      </c>
      <c r="BL26" s="14">
        <v>5.0</v>
      </c>
      <c r="BM26" s="14">
        <v>4.0</v>
      </c>
      <c r="BN26" s="14">
        <v>4.0</v>
      </c>
      <c r="BO26" s="14">
        <v>3.0</v>
      </c>
      <c r="BP26" s="14">
        <v>2.0</v>
      </c>
      <c r="BQ26" s="14">
        <v>2.0</v>
      </c>
      <c r="BR26" s="14">
        <v>4.0</v>
      </c>
      <c r="BS26" s="14">
        <v>3.0</v>
      </c>
      <c r="BT26" s="14">
        <v>4.0</v>
      </c>
      <c r="BU26" s="14">
        <v>3.0</v>
      </c>
      <c r="BV26" s="14">
        <v>2.0</v>
      </c>
      <c r="BW26" s="14">
        <v>2.0</v>
      </c>
      <c r="BX26" s="14">
        <v>4.0</v>
      </c>
      <c r="BY26" s="14">
        <v>4.0</v>
      </c>
      <c r="BZ26" s="14">
        <v>4.0</v>
      </c>
    </row>
    <row r="27" ht="22.5" customHeight="1">
      <c r="A27" s="13">
        <v>46248.00505581019</v>
      </c>
      <c r="B27" s="14" t="s">
        <v>162</v>
      </c>
      <c r="C27" s="14" t="s">
        <v>290</v>
      </c>
      <c r="D27" s="14">
        <v>2026.0</v>
      </c>
      <c r="E27" s="14" t="s">
        <v>266</v>
      </c>
      <c r="F27" s="14" t="s">
        <v>291</v>
      </c>
      <c r="G27" s="14">
        <v>4.0</v>
      </c>
      <c r="H27" s="14">
        <v>5.0</v>
      </c>
      <c r="I27" s="14">
        <v>4.0</v>
      </c>
      <c r="J27" s="14">
        <v>5.0</v>
      </c>
      <c r="K27" s="14">
        <v>3.0</v>
      </c>
      <c r="L27" s="14">
        <v>3.0</v>
      </c>
      <c r="M27" s="14">
        <v>5.0</v>
      </c>
      <c r="N27" s="14">
        <v>3.0</v>
      </c>
      <c r="O27" s="14">
        <v>4.0</v>
      </c>
      <c r="P27" s="14">
        <v>5.0</v>
      </c>
      <c r="Q27" s="14">
        <v>2.0</v>
      </c>
      <c r="R27" s="14">
        <v>4.0</v>
      </c>
      <c r="S27" s="14">
        <v>4.0</v>
      </c>
      <c r="T27" s="14">
        <v>4.0</v>
      </c>
      <c r="U27" s="14">
        <v>4.0</v>
      </c>
      <c r="V27" s="14">
        <v>5.0</v>
      </c>
      <c r="W27" s="14">
        <v>3.0</v>
      </c>
      <c r="X27" s="14">
        <v>5.0</v>
      </c>
      <c r="Y27" s="14">
        <v>5.0</v>
      </c>
      <c r="Z27" s="14">
        <v>4.0</v>
      </c>
      <c r="AA27" s="14">
        <v>4.0</v>
      </c>
      <c r="AB27" s="14">
        <v>5.0</v>
      </c>
      <c r="AC27" s="14">
        <v>5.0</v>
      </c>
      <c r="AD27" s="14">
        <v>3.0</v>
      </c>
      <c r="AE27" s="14">
        <v>4.0</v>
      </c>
      <c r="AF27" s="14">
        <v>4.0</v>
      </c>
      <c r="AG27" s="14">
        <v>4.0</v>
      </c>
      <c r="AH27" s="14">
        <v>5.0</v>
      </c>
      <c r="AI27" s="14">
        <v>3.0</v>
      </c>
      <c r="AJ27" s="14">
        <v>4.0</v>
      </c>
      <c r="AK27" s="14">
        <v>5.0</v>
      </c>
      <c r="AL27" s="14">
        <v>2.0</v>
      </c>
      <c r="AM27" s="14">
        <v>4.0</v>
      </c>
      <c r="AN27" s="14">
        <v>5.0</v>
      </c>
      <c r="AO27" s="14">
        <v>2.0</v>
      </c>
      <c r="AP27" s="14">
        <v>4.0</v>
      </c>
      <c r="AQ27" s="14">
        <v>4.0</v>
      </c>
      <c r="AR27" s="14">
        <v>4.0</v>
      </c>
      <c r="AS27" s="14">
        <v>4.0</v>
      </c>
      <c r="AT27" s="14">
        <v>5.0</v>
      </c>
      <c r="AU27" s="14">
        <v>3.0</v>
      </c>
      <c r="AV27" s="14">
        <v>4.0</v>
      </c>
      <c r="AW27" s="14">
        <v>5.0</v>
      </c>
      <c r="AX27" s="14">
        <v>4.0</v>
      </c>
      <c r="AY27" s="14">
        <v>3.0</v>
      </c>
      <c r="AZ27" s="14">
        <v>5.0</v>
      </c>
      <c r="BA27" s="14">
        <v>4.0</v>
      </c>
      <c r="BB27" s="14">
        <v>4.0</v>
      </c>
      <c r="BC27" s="14">
        <v>2.0</v>
      </c>
      <c r="BD27" s="14">
        <v>4.0</v>
      </c>
      <c r="BE27" s="14">
        <v>4.0</v>
      </c>
      <c r="BF27" s="14">
        <v>4.0</v>
      </c>
      <c r="BG27" s="14">
        <v>4.0</v>
      </c>
      <c r="BH27" s="14">
        <v>4.0</v>
      </c>
      <c r="BI27" s="14">
        <v>5.0</v>
      </c>
      <c r="BJ27" s="14">
        <v>3.0</v>
      </c>
      <c r="BK27" s="14">
        <v>5.0</v>
      </c>
      <c r="BL27" s="14">
        <v>4.0</v>
      </c>
      <c r="BM27" s="14">
        <v>5.0</v>
      </c>
      <c r="BN27" s="14">
        <v>4.0</v>
      </c>
      <c r="BO27" s="14">
        <v>3.0</v>
      </c>
      <c r="BP27" s="14">
        <v>4.0</v>
      </c>
      <c r="BQ27" s="14">
        <v>4.0</v>
      </c>
      <c r="BR27" s="14">
        <v>5.0</v>
      </c>
      <c r="BS27" s="14">
        <v>5.0</v>
      </c>
      <c r="BT27" s="14">
        <v>5.0</v>
      </c>
      <c r="BU27" s="14">
        <v>2.0</v>
      </c>
      <c r="BV27" s="14">
        <v>4.0</v>
      </c>
      <c r="BW27" s="14">
        <v>5.0</v>
      </c>
      <c r="BX27" s="14">
        <v>5.0</v>
      </c>
      <c r="BY27" s="14">
        <v>2.0</v>
      </c>
      <c r="BZ27" s="14">
        <v>5.0</v>
      </c>
    </row>
    <row r="28" ht="22.5" customHeight="1">
      <c r="A28" s="13">
        <v>46248.29994239583</v>
      </c>
      <c r="B28" s="14" t="s">
        <v>162</v>
      </c>
      <c r="C28" s="14" t="s">
        <v>295</v>
      </c>
      <c r="D28" s="14">
        <v>2013.0</v>
      </c>
      <c r="E28" s="14" t="s">
        <v>296</v>
      </c>
      <c r="F28" s="14" t="s">
        <v>297</v>
      </c>
      <c r="G28" s="14">
        <v>3.0</v>
      </c>
      <c r="H28" s="14">
        <v>3.0</v>
      </c>
      <c r="I28" s="14">
        <v>4.0</v>
      </c>
      <c r="J28" s="14">
        <v>4.0</v>
      </c>
      <c r="K28" s="14">
        <v>4.0</v>
      </c>
      <c r="L28" s="14">
        <v>4.0</v>
      </c>
      <c r="M28" s="14">
        <v>4.0</v>
      </c>
      <c r="N28" s="14">
        <v>4.0</v>
      </c>
      <c r="O28" s="14">
        <v>4.0</v>
      </c>
      <c r="P28" s="14">
        <v>4.0</v>
      </c>
      <c r="Q28" s="14">
        <v>4.0</v>
      </c>
      <c r="R28" s="14">
        <v>4.0</v>
      </c>
      <c r="S28" s="14">
        <v>4.0</v>
      </c>
      <c r="T28" s="14">
        <v>4.0</v>
      </c>
      <c r="U28" s="14">
        <v>4.0</v>
      </c>
      <c r="V28" s="14">
        <v>4.0</v>
      </c>
      <c r="W28" s="14">
        <v>4.0</v>
      </c>
      <c r="X28" s="14">
        <v>4.0</v>
      </c>
      <c r="Y28" s="14">
        <v>4.0</v>
      </c>
      <c r="Z28" s="14">
        <v>4.0</v>
      </c>
      <c r="AA28" s="14">
        <v>3.0</v>
      </c>
      <c r="AB28" s="14">
        <v>4.0</v>
      </c>
      <c r="AC28" s="14">
        <v>5.0</v>
      </c>
      <c r="AD28" s="14">
        <v>4.0</v>
      </c>
      <c r="AE28" s="14">
        <v>3.0</v>
      </c>
      <c r="AF28" s="14">
        <v>5.0</v>
      </c>
      <c r="AG28" s="14">
        <v>3.0</v>
      </c>
      <c r="AH28" s="14">
        <v>5.0</v>
      </c>
      <c r="AI28" s="14">
        <v>4.0</v>
      </c>
      <c r="AJ28" s="14">
        <v>4.0</v>
      </c>
      <c r="AK28" s="14">
        <v>4.0</v>
      </c>
      <c r="AL28" s="14">
        <v>3.0</v>
      </c>
      <c r="AM28" s="14">
        <v>3.0</v>
      </c>
      <c r="AN28" s="14">
        <v>5.0</v>
      </c>
      <c r="AO28" s="14">
        <v>5.0</v>
      </c>
      <c r="AP28" s="14">
        <v>4.0</v>
      </c>
      <c r="AQ28" s="14">
        <v>4.0</v>
      </c>
      <c r="AR28" s="14">
        <v>4.0</v>
      </c>
      <c r="AS28" s="14">
        <v>3.0</v>
      </c>
      <c r="AT28" s="14">
        <v>4.0</v>
      </c>
      <c r="AU28" s="14">
        <v>4.0</v>
      </c>
      <c r="AV28" s="14">
        <v>3.0</v>
      </c>
      <c r="AW28" s="14">
        <v>5.0</v>
      </c>
      <c r="AX28" s="14">
        <v>5.0</v>
      </c>
      <c r="AY28" s="14">
        <v>5.0</v>
      </c>
      <c r="AZ28" s="14">
        <v>5.0</v>
      </c>
      <c r="BA28" s="14">
        <v>4.0</v>
      </c>
      <c r="BB28" s="14">
        <v>4.0</v>
      </c>
      <c r="BC28" s="14">
        <v>5.0</v>
      </c>
      <c r="BD28" s="14">
        <v>5.0</v>
      </c>
      <c r="BE28" s="14">
        <v>5.0</v>
      </c>
      <c r="BF28" s="14">
        <v>4.0</v>
      </c>
      <c r="BG28" s="14">
        <v>4.0</v>
      </c>
      <c r="BH28" s="14">
        <v>4.0</v>
      </c>
      <c r="BI28" s="14">
        <v>3.0</v>
      </c>
      <c r="BJ28" s="14">
        <v>5.0</v>
      </c>
      <c r="BK28" s="14">
        <v>4.0</v>
      </c>
      <c r="BL28" s="14">
        <v>4.0</v>
      </c>
      <c r="BM28" s="14">
        <v>4.0</v>
      </c>
      <c r="BN28" s="14">
        <v>5.0</v>
      </c>
      <c r="BO28" s="14">
        <v>5.0</v>
      </c>
      <c r="BP28" s="14">
        <v>4.0</v>
      </c>
      <c r="BQ28" s="14">
        <v>5.0</v>
      </c>
      <c r="BR28" s="14">
        <v>4.0</v>
      </c>
      <c r="BS28" s="14">
        <v>5.0</v>
      </c>
      <c r="BT28" s="14">
        <v>5.0</v>
      </c>
      <c r="BU28" s="14">
        <v>5.0</v>
      </c>
      <c r="BV28" s="14">
        <v>5.0</v>
      </c>
      <c r="BW28" s="14">
        <v>5.0</v>
      </c>
      <c r="BX28" s="14">
        <v>5.0</v>
      </c>
      <c r="BY28" s="14">
        <v>3.0</v>
      </c>
      <c r="BZ28" s="14">
        <v>3.0</v>
      </c>
    </row>
    <row r="29" ht="22.5" customHeight="1">
      <c r="A29" s="13">
        <v>46248.32498871528</v>
      </c>
      <c r="B29" s="14" t="s">
        <v>162</v>
      </c>
      <c r="C29" s="14" t="s">
        <v>207</v>
      </c>
      <c r="D29" s="14">
        <v>1.0</v>
      </c>
      <c r="E29" s="14">
        <v>1.0</v>
      </c>
      <c r="F29" s="14" t="s">
        <v>301</v>
      </c>
      <c r="G29" s="14">
        <v>3.0</v>
      </c>
      <c r="H29" s="14">
        <v>3.0</v>
      </c>
      <c r="I29" s="14">
        <v>3.0</v>
      </c>
      <c r="J29" s="14">
        <v>3.0</v>
      </c>
      <c r="K29" s="14">
        <v>3.0</v>
      </c>
      <c r="L29" s="14">
        <v>3.0</v>
      </c>
      <c r="M29" s="14">
        <v>3.0</v>
      </c>
      <c r="N29" s="14">
        <v>3.0</v>
      </c>
      <c r="O29" s="14">
        <v>3.0</v>
      </c>
      <c r="P29" s="14">
        <v>3.0</v>
      </c>
      <c r="Q29" s="14">
        <v>3.0</v>
      </c>
      <c r="R29" s="14">
        <v>3.0</v>
      </c>
      <c r="S29" s="14">
        <v>3.0</v>
      </c>
      <c r="T29" s="14">
        <v>3.0</v>
      </c>
      <c r="U29" s="14">
        <v>3.0</v>
      </c>
      <c r="V29" s="14">
        <v>3.0</v>
      </c>
      <c r="W29" s="14">
        <v>3.0</v>
      </c>
      <c r="X29" s="14">
        <v>3.0</v>
      </c>
      <c r="Y29" s="14">
        <v>3.0</v>
      </c>
      <c r="Z29" s="14">
        <v>3.0</v>
      </c>
      <c r="AA29" s="14">
        <v>3.0</v>
      </c>
      <c r="AB29" s="14">
        <v>3.0</v>
      </c>
      <c r="AC29" s="14">
        <v>3.0</v>
      </c>
      <c r="AD29" s="14">
        <v>3.0</v>
      </c>
      <c r="AE29" s="14">
        <v>3.0</v>
      </c>
      <c r="AF29" s="14">
        <v>3.0</v>
      </c>
      <c r="AG29" s="14">
        <v>3.0</v>
      </c>
      <c r="AH29" s="14">
        <v>3.0</v>
      </c>
      <c r="AI29" s="14">
        <v>3.0</v>
      </c>
      <c r="AJ29" s="14">
        <v>3.0</v>
      </c>
      <c r="AK29" s="14">
        <v>3.0</v>
      </c>
      <c r="AL29" s="14">
        <v>3.0</v>
      </c>
      <c r="AM29" s="14">
        <v>3.0</v>
      </c>
      <c r="AN29" s="14">
        <v>3.0</v>
      </c>
      <c r="AO29" s="14">
        <v>3.0</v>
      </c>
      <c r="AP29" s="14">
        <v>3.0</v>
      </c>
      <c r="AQ29" s="14">
        <v>3.0</v>
      </c>
      <c r="AR29" s="14">
        <v>3.0</v>
      </c>
      <c r="AS29" s="14">
        <v>3.0</v>
      </c>
      <c r="AT29" s="14">
        <v>3.0</v>
      </c>
      <c r="AU29" s="14">
        <v>3.0</v>
      </c>
      <c r="AV29" s="14">
        <v>3.0</v>
      </c>
      <c r="AW29" s="14">
        <v>3.0</v>
      </c>
      <c r="AX29" s="14">
        <v>3.0</v>
      </c>
      <c r="AY29" s="14">
        <v>3.0</v>
      </c>
      <c r="AZ29" s="14">
        <v>3.0</v>
      </c>
      <c r="BA29" s="14">
        <v>3.0</v>
      </c>
      <c r="BB29" s="14">
        <v>3.0</v>
      </c>
      <c r="BC29" s="14">
        <v>3.0</v>
      </c>
      <c r="BD29" s="14">
        <v>3.0</v>
      </c>
      <c r="BE29" s="14">
        <v>3.0</v>
      </c>
      <c r="BF29" s="14">
        <v>3.0</v>
      </c>
      <c r="BG29" s="14">
        <v>3.0</v>
      </c>
      <c r="BH29" s="14">
        <v>3.0</v>
      </c>
      <c r="BI29" s="14">
        <v>3.0</v>
      </c>
      <c r="BJ29" s="14">
        <v>3.0</v>
      </c>
      <c r="BK29" s="14">
        <v>3.0</v>
      </c>
      <c r="BL29" s="14">
        <v>3.0</v>
      </c>
      <c r="BM29" s="14">
        <v>3.0</v>
      </c>
      <c r="BN29" s="14">
        <v>3.0</v>
      </c>
      <c r="BO29" s="14">
        <v>3.0</v>
      </c>
      <c r="BP29" s="14">
        <v>3.0</v>
      </c>
      <c r="BQ29" s="14">
        <v>3.0</v>
      </c>
      <c r="BR29" s="14">
        <v>3.0</v>
      </c>
      <c r="BS29" s="14">
        <v>3.0</v>
      </c>
      <c r="BT29" s="14">
        <v>3.0</v>
      </c>
      <c r="BU29" s="14">
        <v>3.0</v>
      </c>
      <c r="BV29" s="14">
        <v>3.0</v>
      </c>
      <c r="BW29" s="14">
        <v>3.0</v>
      </c>
      <c r="BX29" s="14">
        <v>3.0</v>
      </c>
      <c r="BY29" s="14">
        <v>3.0</v>
      </c>
      <c r="BZ29" s="14">
        <v>3.0</v>
      </c>
    </row>
    <row r="30" ht="22.5" customHeight="1">
      <c r="A30" s="13">
        <v>46248.33358160879</v>
      </c>
      <c r="B30" s="14" t="s">
        <v>162</v>
      </c>
      <c r="C30" s="14" t="s">
        <v>207</v>
      </c>
      <c r="D30" s="14">
        <v>2025.0</v>
      </c>
      <c r="E30" s="14" t="s">
        <v>239</v>
      </c>
      <c r="F30" s="14" t="s">
        <v>240</v>
      </c>
      <c r="G30" s="14">
        <v>5.0</v>
      </c>
      <c r="H30" s="14">
        <v>5.0</v>
      </c>
      <c r="I30" s="14">
        <v>5.0</v>
      </c>
      <c r="J30" s="14">
        <v>5.0</v>
      </c>
      <c r="K30" s="14">
        <v>5.0</v>
      </c>
      <c r="L30" s="14">
        <v>5.0</v>
      </c>
      <c r="M30" s="14">
        <v>5.0</v>
      </c>
      <c r="N30" s="14">
        <v>5.0</v>
      </c>
      <c r="O30" s="14">
        <v>5.0</v>
      </c>
      <c r="P30" s="14">
        <v>5.0</v>
      </c>
      <c r="Q30" s="14">
        <v>5.0</v>
      </c>
      <c r="R30" s="14">
        <v>5.0</v>
      </c>
      <c r="S30" s="14">
        <v>5.0</v>
      </c>
      <c r="T30" s="14">
        <v>5.0</v>
      </c>
      <c r="U30" s="14">
        <v>5.0</v>
      </c>
      <c r="V30" s="14">
        <v>5.0</v>
      </c>
      <c r="W30" s="14">
        <v>5.0</v>
      </c>
      <c r="X30" s="14">
        <v>5.0</v>
      </c>
      <c r="Y30" s="14">
        <v>5.0</v>
      </c>
      <c r="Z30" s="14">
        <v>5.0</v>
      </c>
      <c r="AA30" s="14">
        <v>5.0</v>
      </c>
      <c r="AB30" s="14">
        <v>5.0</v>
      </c>
      <c r="AC30" s="14">
        <v>5.0</v>
      </c>
      <c r="AD30" s="14">
        <v>5.0</v>
      </c>
      <c r="AE30" s="14">
        <v>5.0</v>
      </c>
      <c r="AF30" s="14">
        <v>5.0</v>
      </c>
      <c r="AG30" s="14">
        <v>5.0</v>
      </c>
      <c r="AH30" s="14">
        <v>5.0</v>
      </c>
      <c r="AI30" s="14">
        <v>5.0</v>
      </c>
      <c r="AJ30" s="14">
        <v>5.0</v>
      </c>
      <c r="AK30" s="14">
        <v>5.0</v>
      </c>
      <c r="AL30" s="14">
        <v>5.0</v>
      </c>
      <c r="AM30" s="14">
        <v>5.0</v>
      </c>
      <c r="AN30" s="14">
        <v>5.0</v>
      </c>
      <c r="AO30" s="14">
        <v>5.0</v>
      </c>
      <c r="AP30" s="14">
        <v>5.0</v>
      </c>
      <c r="AQ30" s="14">
        <v>5.0</v>
      </c>
      <c r="AR30" s="14">
        <v>5.0</v>
      </c>
      <c r="AS30" s="14">
        <v>5.0</v>
      </c>
      <c r="AT30" s="14">
        <v>5.0</v>
      </c>
      <c r="AU30" s="14">
        <v>5.0</v>
      </c>
      <c r="AV30" s="14">
        <v>5.0</v>
      </c>
      <c r="AW30" s="14">
        <v>5.0</v>
      </c>
      <c r="AX30" s="14">
        <v>5.0</v>
      </c>
      <c r="AY30" s="14">
        <v>5.0</v>
      </c>
      <c r="AZ30" s="14">
        <v>5.0</v>
      </c>
      <c r="BA30" s="14">
        <v>5.0</v>
      </c>
      <c r="BB30" s="14">
        <v>5.0</v>
      </c>
      <c r="BC30" s="14">
        <v>5.0</v>
      </c>
      <c r="BD30" s="14">
        <v>5.0</v>
      </c>
      <c r="BE30" s="14">
        <v>5.0</v>
      </c>
      <c r="BF30" s="14">
        <v>5.0</v>
      </c>
      <c r="BG30" s="14">
        <v>5.0</v>
      </c>
      <c r="BH30" s="14">
        <v>5.0</v>
      </c>
      <c r="BI30" s="14">
        <v>5.0</v>
      </c>
      <c r="BJ30" s="14">
        <v>5.0</v>
      </c>
      <c r="BK30" s="14">
        <v>5.0</v>
      </c>
      <c r="BL30" s="14">
        <v>5.0</v>
      </c>
      <c r="BM30" s="14">
        <v>5.0</v>
      </c>
      <c r="BN30" s="14">
        <v>5.0</v>
      </c>
      <c r="BO30" s="14">
        <v>5.0</v>
      </c>
      <c r="BP30" s="14">
        <v>5.0</v>
      </c>
      <c r="BQ30" s="14">
        <v>5.0</v>
      </c>
      <c r="BR30" s="14">
        <v>5.0</v>
      </c>
      <c r="BS30" s="14">
        <v>5.0</v>
      </c>
      <c r="BT30" s="14">
        <v>5.0</v>
      </c>
      <c r="BU30" s="14">
        <v>5.0</v>
      </c>
      <c r="BV30" s="14">
        <v>5.0</v>
      </c>
      <c r="BW30" s="14">
        <v>5.0</v>
      </c>
      <c r="BX30" s="14">
        <v>5.0</v>
      </c>
      <c r="BY30" s="14">
        <v>5.0</v>
      </c>
      <c r="BZ30" s="14">
        <v>5.0</v>
      </c>
    </row>
    <row r="31" ht="22.5" customHeight="1">
      <c r="A31" s="13">
        <v>46248.33805181713</v>
      </c>
      <c r="B31" s="14" t="s">
        <v>162</v>
      </c>
      <c r="C31" s="14" t="s">
        <v>207</v>
      </c>
      <c r="D31" s="14">
        <v>1.0</v>
      </c>
      <c r="E31" s="14">
        <v>1.0</v>
      </c>
      <c r="F31" s="14" t="s">
        <v>208</v>
      </c>
      <c r="G31" s="14">
        <v>3.0</v>
      </c>
      <c r="H31" s="14">
        <v>3.0</v>
      </c>
      <c r="I31" s="14">
        <v>3.0</v>
      </c>
      <c r="J31" s="14">
        <v>3.0</v>
      </c>
      <c r="K31" s="14">
        <v>3.0</v>
      </c>
      <c r="L31" s="14">
        <v>3.0</v>
      </c>
      <c r="M31" s="14">
        <v>3.0</v>
      </c>
      <c r="N31" s="14">
        <v>3.0</v>
      </c>
      <c r="O31" s="14">
        <v>3.0</v>
      </c>
      <c r="P31" s="14">
        <v>3.0</v>
      </c>
      <c r="Q31" s="14">
        <v>3.0</v>
      </c>
      <c r="R31" s="14">
        <v>3.0</v>
      </c>
      <c r="S31" s="14">
        <v>3.0</v>
      </c>
      <c r="T31" s="14">
        <v>3.0</v>
      </c>
      <c r="U31" s="14">
        <v>3.0</v>
      </c>
      <c r="V31" s="14">
        <v>3.0</v>
      </c>
      <c r="W31" s="14">
        <v>3.0</v>
      </c>
      <c r="X31" s="14">
        <v>3.0</v>
      </c>
      <c r="Y31" s="14">
        <v>3.0</v>
      </c>
      <c r="Z31" s="14">
        <v>3.0</v>
      </c>
      <c r="AA31" s="14">
        <v>3.0</v>
      </c>
      <c r="AB31" s="14">
        <v>3.0</v>
      </c>
      <c r="AC31" s="14">
        <v>3.0</v>
      </c>
      <c r="AD31" s="14">
        <v>3.0</v>
      </c>
      <c r="AE31" s="14">
        <v>3.0</v>
      </c>
      <c r="AF31" s="14">
        <v>3.0</v>
      </c>
      <c r="AG31" s="14">
        <v>3.0</v>
      </c>
      <c r="AH31" s="14">
        <v>3.0</v>
      </c>
      <c r="AI31" s="14">
        <v>3.0</v>
      </c>
      <c r="AJ31" s="14">
        <v>3.0</v>
      </c>
      <c r="AK31" s="14">
        <v>3.0</v>
      </c>
      <c r="AL31" s="14">
        <v>3.0</v>
      </c>
      <c r="AM31" s="14">
        <v>3.0</v>
      </c>
      <c r="AN31" s="14">
        <v>3.0</v>
      </c>
      <c r="AO31" s="14">
        <v>3.0</v>
      </c>
      <c r="AP31" s="14">
        <v>3.0</v>
      </c>
      <c r="AQ31" s="14">
        <v>3.0</v>
      </c>
      <c r="AR31" s="14">
        <v>3.0</v>
      </c>
      <c r="AS31" s="14">
        <v>3.0</v>
      </c>
      <c r="AT31" s="14">
        <v>3.0</v>
      </c>
      <c r="AU31" s="14">
        <v>3.0</v>
      </c>
      <c r="AV31" s="14">
        <v>3.0</v>
      </c>
      <c r="AW31" s="14">
        <v>3.0</v>
      </c>
      <c r="AX31" s="14">
        <v>3.0</v>
      </c>
      <c r="AY31" s="14">
        <v>3.0</v>
      </c>
      <c r="AZ31" s="14">
        <v>3.0</v>
      </c>
      <c r="BA31" s="14">
        <v>3.0</v>
      </c>
      <c r="BB31" s="14">
        <v>3.0</v>
      </c>
      <c r="BC31" s="14">
        <v>3.0</v>
      </c>
      <c r="BD31" s="14">
        <v>3.0</v>
      </c>
      <c r="BE31" s="14">
        <v>3.0</v>
      </c>
      <c r="BF31" s="14">
        <v>3.0</v>
      </c>
      <c r="BG31" s="14">
        <v>3.0</v>
      </c>
      <c r="BH31" s="14">
        <v>3.0</v>
      </c>
      <c r="BI31" s="14">
        <v>3.0</v>
      </c>
      <c r="BJ31" s="14">
        <v>3.0</v>
      </c>
      <c r="BK31" s="14">
        <v>3.0</v>
      </c>
      <c r="BL31" s="14">
        <v>3.0</v>
      </c>
      <c r="BM31" s="14">
        <v>3.0</v>
      </c>
      <c r="BN31" s="14">
        <v>3.0</v>
      </c>
      <c r="BO31" s="14">
        <v>3.0</v>
      </c>
      <c r="BP31" s="14">
        <v>3.0</v>
      </c>
      <c r="BQ31" s="14">
        <v>3.0</v>
      </c>
      <c r="BR31" s="14">
        <v>3.0</v>
      </c>
      <c r="BS31" s="14">
        <v>3.0</v>
      </c>
      <c r="BT31" s="14">
        <v>3.0</v>
      </c>
      <c r="BU31" s="14">
        <v>3.0</v>
      </c>
      <c r="BV31" s="14">
        <v>3.0</v>
      </c>
      <c r="BW31" s="14">
        <v>3.0</v>
      </c>
      <c r="BX31" s="14">
        <v>3.0</v>
      </c>
      <c r="BY31" s="14">
        <v>3.0</v>
      </c>
      <c r="BZ31" s="14">
        <v>3.0</v>
      </c>
    </row>
    <row r="32" ht="22.5" customHeight="1">
      <c r="A32" s="13">
        <v>46248.34262935186</v>
      </c>
      <c r="B32" s="14" t="s">
        <v>162</v>
      </c>
      <c r="C32" s="14" t="s">
        <v>311</v>
      </c>
      <c r="D32" s="14">
        <v>2020.0</v>
      </c>
      <c r="E32" s="14" t="s">
        <v>312</v>
      </c>
      <c r="F32" s="14" t="s">
        <v>251</v>
      </c>
      <c r="G32" s="14">
        <v>3.0</v>
      </c>
      <c r="H32" s="14">
        <v>1.0</v>
      </c>
      <c r="I32" s="14">
        <v>3.0</v>
      </c>
      <c r="J32" s="14">
        <v>1.0</v>
      </c>
      <c r="K32" s="14">
        <v>1.0</v>
      </c>
      <c r="L32" s="14">
        <v>1.0</v>
      </c>
      <c r="M32" s="14">
        <v>3.0</v>
      </c>
      <c r="N32" s="14">
        <v>1.0</v>
      </c>
      <c r="O32" s="14">
        <v>3.0</v>
      </c>
      <c r="P32" s="14">
        <v>1.0</v>
      </c>
      <c r="Q32" s="14">
        <v>3.0</v>
      </c>
      <c r="R32" s="14">
        <v>3.0</v>
      </c>
      <c r="S32" s="14">
        <v>4.0</v>
      </c>
      <c r="T32" s="14">
        <v>2.0</v>
      </c>
      <c r="U32" s="14">
        <v>2.0</v>
      </c>
      <c r="V32" s="14">
        <v>3.0</v>
      </c>
      <c r="W32" s="14">
        <v>2.0</v>
      </c>
      <c r="X32" s="14">
        <v>3.0</v>
      </c>
      <c r="Y32" s="14">
        <v>2.0</v>
      </c>
      <c r="Z32" s="14">
        <v>3.0</v>
      </c>
      <c r="AA32" s="14">
        <v>2.0</v>
      </c>
      <c r="AB32" s="14">
        <v>2.0</v>
      </c>
      <c r="AC32" s="14">
        <v>2.0</v>
      </c>
      <c r="AD32" s="14">
        <v>2.0</v>
      </c>
      <c r="AE32" s="14">
        <v>2.0</v>
      </c>
      <c r="AF32" s="14">
        <v>2.0</v>
      </c>
      <c r="AG32" s="14">
        <v>2.0</v>
      </c>
      <c r="AH32" s="14">
        <v>4.0</v>
      </c>
      <c r="AI32" s="14">
        <v>3.0</v>
      </c>
      <c r="AJ32" s="14">
        <v>2.0</v>
      </c>
      <c r="AK32" s="14">
        <v>5.0</v>
      </c>
      <c r="AL32" s="14">
        <v>2.0</v>
      </c>
      <c r="AM32" s="14">
        <v>4.0</v>
      </c>
      <c r="AN32" s="14">
        <v>3.0</v>
      </c>
      <c r="AO32" s="14">
        <v>3.0</v>
      </c>
      <c r="AP32" s="14">
        <v>4.0</v>
      </c>
      <c r="AQ32" s="14">
        <v>4.0</v>
      </c>
      <c r="AR32" s="14">
        <v>1.0</v>
      </c>
      <c r="AS32" s="14">
        <v>4.0</v>
      </c>
      <c r="AT32" s="14">
        <v>4.0</v>
      </c>
      <c r="AU32" s="14">
        <v>2.0</v>
      </c>
      <c r="AV32" s="14">
        <v>4.0</v>
      </c>
      <c r="AW32" s="14">
        <v>3.0</v>
      </c>
      <c r="AX32" s="14">
        <v>2.0</v>
      </c>
      <c r="AY32" s="14">
        <v>4.0</v>
      </c>
      <c r="AZ32" s="14">
        <v>3.0</v>
      </c>
      <c r="BA32" s="14">
        <v>2.0</v>
      </c>
      <c r="BB32" s="14">
        <v>3.0</v>
      </c>
      <c r="BC32" s="14">
        <v>3.0</v>
      </c>
      <c r="BD32" s="14">
        <v>3.0</v>
      </c>
      <c r="BE32" s="14">
        <v>4.0</v>
      </c>
      <c r="BF32" s="14">
        <v>3.0</v>
      </c>
      <c r="BG32" s="14">
        <v>3.0</v>
      </c>
      <c r="BH32" s="14">
        <v>2.0</v>
      </c>
      <c r="BI32" s="14">
        <v>3.0</v>
      </c>
      <c r="BJ32" s="14">
        <v>4.0</v>
      </c>
      <c r="BK32" s="14">
        <v>3.0</v>
      </c>
      <c r="BL32" s="14">
        <v>3.0</v>
      </c>
      <c r="BM32" s="14">
        <v>4.0</v>
      </c>
      <c r="BN32" s="14">
        <v>3.0</v>
      </c>
      <c r="BO32" s="14">
        <v>2.0</v>
      </c>
      <c r="BP32" s="14">
        <v>2.0</v>
      </c>
      <c r="BQ32" s="14">
        <v>3.0</v>
      </c>
      <c r="BR32" s="14">
        <v>2.0</v>
      </c>
      <c r="BS32" s="14">
        <v>3.0</v>
      </c>
      <c r="BT32" s="14">
        <v>2.0</v>
      </c>
      <c r="BU32" s="14">
        <v>4.0</v>
      </c>
      <c r="BV32" s="14">
        <v>4.0</v>
      </c>
      <c r="BW32" s="14">
        <v>2.0</v>
      </c>
      <c r="BX32" s="14">
        <v>3.0</v>
      </c>
      <c r="BY32" s="14">
        <v>2.0</v>
      </c>
      <c r="BZ32" s="14">
        <v>3.0</v>
      </c>
    </row>
    <row r="33" ht="22.5" customHeight="1">
      <c r="A33" s="13">
        <v>46248.3427665625</v>
      </c>
      <c r="B33" s="14" t="s">
        <v>162</v>
      </c>
      <c r="C33" s="14" t="s">
        <v>244</v>
      </c>
      <c r="D33" s="14">
        <v>2025.0</v>
      </c>
      <c r="E33" s="14" t="s">
        <v>245</v>
      </c>
      <c r="F33" s="14" t="s">
        <v>246</v>
      </c>
      <c r="G33" s="14">
        <v>4.0</v>
      </c>
      <c r="H33" s="14">
        <v>4.0</v>
      </c>
      <c r="I33" s="14">
        <v>4.0</v>
      </c>
      <c r="J33" s="14">
        <v>4.0</v>
      </c>
      <c r="K33" s="14">
        <v>4.0</v>
      </c>
      <c r="L33" s="14">
        <v>4.0</v>
      </c>
      <c r="M33" s="14">
        <v>4.0</v>
      </c>
      <c r="N33" s="14">
        <v>4.0</v>
      </c>
      <c r="O33" s="14">
        <v>4.0</v>
      </c>
      <c r="P33" s="14">
        <v>4.0</v>
      </c>
      <c r="Q33" s="14">
        <v>4.0</v>
      </c>
      <c r="R33" s="14">
        <v>4.0</v>
      </c>
      <c r="S33" s="14">
        <v>4.0</v>
      </c>
      <c r="T33" s="14">
        <v>4.0</v>
      </c>
      <c r="U33" s="14">
        <v>4.0</v>
      </c>
      <c r="V33" s="14">
        <v>4.0</v>
      </c>
      <c r="W33" s="14">
        <v>4.0</v>
      </c>
      <c r="X33" s="14">
        <v>4.0</v>
      </c>
      <c r="Y33" s="14">
        <v>4.0</v>
      </c>
      <c r="Z33" s="14">
        <v>4.0</v>
      </c>
      <c r="AA33" s="14">
        <v>4.0</v>
      </c>
      <c r="AB33" s="14">
        <v>4.0</v>
      </c>
      <c r="AC33" s="14">
        <v>4.0</v>
      </c>
      <c r="AD33" s="14">
        <v>4.0</v>
      </c>
      <c r="AE33" s="14">
        <v>4.0</v>
      </c>
      <c r="AF33" s="14">
        <v>4.0</v>
      </c>
      <c r="AG33" s="14">
        <v>4.0</v>
      </c>
      <c r="AH33" s="14">
        <v>4.0</v>
      </c>
      <c r="AI33" s="14">
        <v>4.0</v>
      </c>
      <c r="AJ33" s="14">
        <v>4.0</v>
      </c>
      <c r="AK33" s="14">
        <v>4.0</v>
      </c>
      <c r="AL33" s="14">
        <v>4.0</v>
      </c>
      <c r="AM33" s="14">
        <v>4.0</v>
      </c>
      <c r="AN33" s="14">
        <v>4.0</v>
      </c>
      <c r="AO33" s="14">
        <v>4.0</v>
      </c>
      <c r="AP33" s="14">
        <v>4.0</v>
      </c>
      <c r="AQ33" s="14">
        <v>4.0</v>
      </c>
      <c r="AR33" s="14">
        <v>4.0</v>
      </c>
      <c r="AS33" s="14">
        <v>4.0</v>
      </c>
      <c r="AT33" s="14">
        <v>4.0</v>
      </c>
      <c r="AU33" s="14">
        <v>4.0</v>
      </c>
      <c r="AV33" s="14">
        <v>4.0</v>
      </c>
      <c r="AW33" s="14">
        <v>4.0</v>
      </c>
      <c r="AX33" s="14">
        <v>4.0</v>
      </c>
      <c r="AY33" s="14">
        <v>4.0</v>
      </c>
      <c r="AZ33" s="14">
        <v>4.0</v>
      </c>
      <c r="BA33" s="14">
        <v>4.0</v>
      </c>
      <c r="BB33" s="14">
        <v>4.0</v>
      </c>
      <c r="BC33" s="14">
        <v>4.0</v>
      </c>
      <c r="BD33" s="14">
        <v>4.0</v>
      </c>
      <c r="BE33" s="14">
        <v>4.0</v>
      </c>
      <c r="BF33" s="14">
        <v>4.0</v>
      </c>
      <c r="BG33" s="14">
        <v>4.0</v>
      </c>
      <c r="BH33" s="14">
        <v>4.0</v>
      </c>
      <c r="BI33" s="14">
        <v>4.0</v>
      </c>
      <c r="BJ33" s="14">
        <v>4.0</v>
      </c>
      <c r="BK33" s="14">
        <v>4.0</v>
      </c>
      <c r="BL33" s="14">
        <v>4.0</v>
      </c>
      <c r="BM33" s="14">
        <v>4.0</v>
      </c>
      <c r="BN33" s="14">
        <v>4.0</v>
      </c>
      <c r="BO33" s="14">
        <v>4.0</v>
      </c>
      <c r="BP33" s="14">
        <v>4.0</v>
      </c>
      <c r="BQ33" s="14">
        <v>4.0</v>
      </c>
      <c r="BR33" s="14">
        <v>4.0</v>
      </c>
      <c r="BS33" s="14">
        <v>4.0</v>
      </c>
      <c r="BT33" s="14">
        <v>4.0</v>
      </c>
      <c r="BU33" s="14">
        <v>4.0</v>
      </c>
      <c r="BV33" s="14">
        <v>4.0</v>
      </c>
      <c r="BW33" s="14">
        <v>4.0</v>
      </c>
      <c r="BX33" s="14">
        <v>4.0</v>
      </c>
      <c r="BY33" s="14">
        <v>4.0</v>
      </c>
      <c r="BZ33" s="14">
        <v>4.0</v>
      </c>
    </row>
    <row r="34" ht="22.5" customHeight="1">
      <c r="A34" s="13">
        <v>46248.34307041667</v>
      </c>
      <c r="B34" s="14" t="s">
        <v>162</v>
      </c>
      <c r="C34" s="14" t="s">
        <v>207</v>
      </c>
      <c r="D34" s="14">
        <v>1.0</v>
      </c>
      <c r="E34" s="14">
        <v>1.0</v>
      </c>
      <c r="F34" s="14" t="s">
        <v>208</v>
      </c>
      <c r="G34" s="14">
        <v>3.0</v>
      </c>
      <c r="H34" s="14">
        <v>3.0</v>
      </c>
      <c r="I34" s="14">
        <v>3.0</v>
      </c>
      <c r="J34" s="14">
        <v>3.0</v>
      </c>
      <c r="K34" s="14">
        <v>3.0</v>
      </c>
      <c r="L34" s="14">
        <v>3.0</v>
      </c>
      <c r="M34" s="14">
        <v>3.0</v>
      </c>
      <c r="N34" s="14">
        <v>3.0</v>
      </c>
      <c r="O34" s="14">
        <v>3.0</v>
      </c>
      <c r="P34" s="14">
        <v>3.0</v>
      </c>
      <c r="Q34" s="14">
        <v>3.0</v>
      </c>
      <c r="R34" s="14">
        <v>3.0</v>
      </c>
      <c r="S34" s="14">
        <v>3.0</v>
      </c>
      <c r="T34" s="14">
        <v>3.0</v>
      </c>
      <c r="U34" s="14">
        <v>3.0</v>
      </c>
      <c r="V34" s="14">
        <v>3.0</v>
      </c>
      <c r="W34" s="14">
        <v>3.0</v>
      </c>
      <c r="X34" s="14">
        <v>3.0</v>
      </c>
      <c r="Y34" s="14">
        <v>3.0</v>
      </c>
      <c r="Z34" s="14">
        <v>3.0</v>
      </c>
      <c r="AA34" s="14">
        <v>3.0</v>
      </c>
      <c r="AB34" s="14">
        <v>3.0</v>
      </c>
      <c r="AC34" s="14">
        <v>3.0</v>
      </c>
      <c r="AD34" s="14">
        <v>3.0</v>
      </c>
      <c r="AE34" s="14">
        <v>3.0</v>
      </c>
      <c r="AF34" s="14">
        <v>3.0</v>
      </c>
      <c r="AG34" s="14">
        <v>3.0</v>
      </c>
      <c r="AH34" s="14">
        <v>3.0</v>
      </c>
      <c r="AI34" s="14">
        <v>3.0</v>
      </c>
      <c r="AJ34" s="14">
        <v>3.0</v>
      </c>
      <c r="AK34" s="14">
        <v>3.0</v>
      </c>
      <c r="AL34" s="14">
        <v>3.0</v>
      </c>
      <c r="AM34" s="14">
        <v>3.0</v>
      </c>
      <c r="AN34" s="14">
        <v>3.0</v>
      </c>
      <c r="AO34" s="14">
        <v>3.0</v>
      </c>
      <c r="AP34" s="14">
        <v>3.0</v>
      </c>
      <c r="AQ34" s="14">
        <v>3.0</v>
      </c>
      <c r="AR34" s="14">
        <v>3.0</v>
      </c>
      <c r="AS34" s="14">
        <v>3.0</v>
      </c>
      <c r="AT34" s="14">
        <v>3.0</v>
      </c>
      <c r="AU34" s="14">
        <v>3.0</v>
      </c>
      <c r="AV34" s="14">
        <v>3.0</v>
      </c>
      <c r="AW34" s="14">
        <v>3.0</v>
      </c>
      <c r="AX34" s="14">
        <v>3.0</v>
      </c>
      <c r="AY34" s="14">
        <v>3.0</v>
      </c>
      <c r="AZ34" s="14">
        <v>3.0</v>
      </c>
      <c r="BA34" s="14">
        <v>3.0</v>
      </c>
      <c r="BB34" s="14">
        <v>3.0</v>
      </c>
      <c r="BC34" s="14">
        <v>3.0</v>
      </c>
      <c r="BD34" s="14">
        <v>3.0</v>
      </c>
      <c r="BE34" s="14">
        <v>3.0</v>
      </c>
      <c r="BF34" s="14">
        <v>3.0</v>
      </c>
      <c r="BG34" s="14">
        <v>3.0</v>
      </c>
      <c r="BH34" s="14">
        <v>3.0</v>
      </c>
      <c r="BI34" s="14">
        <v>3.0</v>
      </c>
      <c r="BJ34" s="14">
        <v>3.0</v>
      </c>
      <c r="BK34" s="14">
        <v>3.0</v>
      </c>
      <c r="BL34" s="14">
        <v>3.0</v>
      </c>
      <c r="BM34" s="14">
        <v>3.0</v>
      </c>
      <c r="BN34" s="14">
        <v>3.0</v>
      </c>
      <c r="BO34" s="14">
        <v>3.0</v>
      </c>
      <c r="BP34" s="14">
        <v>3.0</v>
      </c>
      <c r="BQ34" s="14">
        <v>3.0</v>
      </c>
      <c r="BR34" s="14">
        <v>3.0</v>
      </c>
      <c r="BS34" s="14">
        <v>3.0</v>
      </c>
      <c r="BT34" s="14">
        <v>3.0</v>
      </c>
      <c r="BU34" s="14">
        <v>3.0</v>
      </c>
      <c r="BV34" s="14">
        <v>3.0</v>
      </c>
      <c r="BW34" s="14">
        <v>3.0</v>
      </c>
      <c r="BX34" s="14">
        <v>3.0</v>
      </c>
      <c r="BY34" s="14">
        <v>3.0</v>
      </c>
      <c r="BZ34" s="14">
        <v>3.0</v>
      </c>
    </row>
    <row r="35" ht="22.5" customHeight="1">
      <c r="A35" s="13">
        <v>46248.35082155092</v>
      </c>
      <c r="B35" s="14" t="s">
        <v>162</v>
      </c>
      <c r="C35" s="14" t="s">
        <v>207</v>
      </c>
      <c r="D35" s="14">
        <v>2025.0</v>
      </c>
      <c r="E35" s="14" t="s">
        <v>321</v>
      </c>
      <c r="F35" s="14" t="s">
        <v>240</v>
      </c>
      <c r="G35" s="14">
        <v>5.0</v>
      </c>
      <c r="H35" s="14">
        <v>5.0</v>
      </c>
      <c r="I35" s="14">
        <v>5.0</v>
      </c>
      <c r="J35" s="14">
        <v>5.0</v>
      </c>
      <c r="K35" s="14">
        <v>5.0</v>
      </c>
      <c r="L35" s="14">
        <v>5.0</v>
      </c>
      <c r="M35" s="14">
        <v>5.0</v>
      </c>
      <c r="N35" s="14">
        <v>5.0</v>
      </c>
      <c r="O35" s="14">
        <v>5.0</v>
      </c>
      <c r="P35" s="14">
        <v>5.0</v>
      </c>
      <c r="Q35" s="14">
        <v>5.0</v>
      </c>
      <c r="R35" s="14">
        <v>5.0</v>
      </c>
      <c r="S35" s="14">
        <v>5.0</v>
      </c>
      <c r="T35" s="14">
        <v>5.0</v>
      </c>
      <c r="U35" s="14">
        <v>5.0</v>
      </c>
      <c r="V35" s="14">
        <v>5.0</v>
      </c>
      <c r="W35" s="14">
        <v>5.0</v>
      </c>
      <c r="X35" s="14">
        <v>5.0</v>
      </c>
      <c r="Y35" s="14">
        <v>5.0</v>
      </c>
      <c r="Z35" s="14">
        <v>5.0</v>
      </c>
      <c r="AA35" s="14">
        <v>5.0</v>
      </c>
      <c r="AB35" s="14">
        <v>5.0</v>
      </c>
      <c r="AC35" s="14">
        <v>5.0</v>
      </c>
      <c r="AD35" s="14">
        <v>5.0</v>
      </c>
      <c r="AE35" s="14">
        <v>5.0</v>
      </c>
      <c r="AF35" s="14">
        <v>5.0</v>
      </c>
      <c r="AG35" s="14">
        <v>5.0</v>
      </c>
      <c r="AH35" s="14">
        <v>5.0</v>
      </c>
      <c r="AI35" s="14">
        <v>5.0</v>
      </c>
      <c r="AJ35" s="14">
        <v>5.0</v>
      </c>
      <c r="AK35" s="14">
        <v>5.0</v>
      </c>
      <c r="AL35" s="14">
        <v>5.0</v>
      </c>
      <c r="AM35" s="14">
        <v>5.0</v>
      </c>
      <c r="AN35" s="14">
        <v>5.0</v>
      </c>
      <c r="AO35" s="14">
        <v>5.0</v>
      </c>
      <c r="AP35" s="14">
        <v>5.0</v>
      </c>
      <c r="AQ35" s="14">
        <v>5.0</v>
      </c>
      <c r="AR35" s="14">
        <v>5.0</v>
      </c>
      <c r="AS35" s="14">
        <v>5.0</v>
      </c>
      <c r="AT35" s="14">
        <v>5.0</v>
      </c>
      <c r="AU35" s="14">
        <v>5.0</v>
      </c>
      <c r="AV35" s="14">
        <v>5.0</v>
      </c>
      <c r="AW35" s="14">
        <v>5.0</v>
      </c>
      <c r="AX35" s="14">
        <v>5.0</v>
      </c>
      <c r="AY35" s="14">
        <v>5.0</v>
      </c>
      <c r="AZ35" s="14">
        <v>5.0</v>
      </c>
      <c r="BA35" s="14">
        <v>5.0</v>
      </c>
      <c r="BB35" s="14">
        <v>5.0</v>
      </c>
      <c r="BC35" s="14">
        <v>5.0</v>
      </c>
      <c r="BD35" s="14">
        <v>5.0</v>
      </c>
      <c r="BE35" s="14">
        <v>5.0</v>
      </c>
      <c r="BF35" s="14">
        <v>5.0</v>
      </c>
      <c r="BG35" s="14">
        <v>5.0</v>
      </c>
      <c r="BH35" s="14">
        <v>5.0</v>
      </c>
      <c r="BI35" s="14">
        <v>5.0</v>
      </c>
      <c r="BJ35" s="14">
        <v>5.0</v>
      </c>
      <c r="BK35" s="14">
        <v>5.0</v>
      </c>
      <c r="BL35" s="14">
        <v>5.0</v>
      </c>
      <c r="BM35" s="14">
        <v>5.0</v>
      </c>
      <c r="BN35" s="14">
        <v>5.0</v>
      </c>
      <c r="BO35" s="14">
        <v>5.0</v>
      </c>
      <c r="BP35" s="14">
        <v>5.0</v>
      </c>
      <c r="BQ35" s="14">
        <v>5.0</v>
      </c>
      <c r="BR35" s="14">
        <v>5.0</v>
      </c>
      <c r="BS35" s="14">
        <v>5.0</v>
      </c>
      <c r="BT35" s="14">
        <v>5.0</v>
      </c>
      <c r="BU35" s="14">
        <v>5.0</v>
      </c>
      <c r="BV35" s="14">
        <v>5.0</v>
      </c>
      <c r="BW35" s="14">
        <v>5.0</v>
      </c>
      <c r="BX35" s="14">
        <v>5.0</v>
      </c>
      <c r="BY35" s="14">
        <v>5.0</v>
      </c>
      <c r="BZ35" s="14">
        <v>5.0</v>
      </c>
    </row>
    <row r="36" ht="22.5" customHeight="1">
      <c r="A36" s="13">
        <v>46248.39030534722</v>
      </c>
      <c r="B36" s="14" t="s">
        <v>162</v>
      </c>
      <c r="C36" s="14" t="s">
        <v>207</v>
      </c>
      <c r="D36" s="14">
        <v>1.0</v>
      </c>
      <c r="E36" s="14">
        <v>1.0</v>
      </c>
      <c r="F36" s="14" t="s">
        <v>208</v>
      </c>
      <c r="G36" s="14">
        <v>3.0</v>
      </c>
      <c r="H36" s="14">
        <v>3.0</v>
      </c>
      <c r="I36" s="14">
        <v>3.0</v>
      </c>
      <c r="J36" s="14">
        <v>3.0</v>
      </c>
      <c r="K36" s="14">
        <v>3.0</v>
      </c>
      <c r="L36" s="14">
        <v>3.0</v>
      </c>
      <c r="M36" s="14">
        <v>3.0</v>
      </c>
      <c r="N36" s="14">
        <v>3.0</v>
      </c>
      <c r="O36" s="14">
        <v>3.0</v>
      </c>
      <c r="P36" s="14">
        <v>3.0</v>
      </c>
      <c r="Q36" s="14">
        <v>3.0</v>
      </c>
      <c r="R36" s="14">
        <v>3.0</v>
      </c>
      <c r="S36" s="14">
        <v>3.0</v>
      </c>
      <c r="T36" s="14">
        <v>3.0</v>
      </c>
      <c r="U36" s="14">
        <v>3.0</v>
      </c>
      <c r="V36" s="14">
        <v>3.0</v>
      </c>
      <c r="W36" s="14">
        <v>3.0</v>
      </c>
      <c r="X36" s="14">
        <v>3.0</v>
      </c>
      <c r="Y36" s="14">
        <v>3.0</v>
      </c>
      <c r="Z36" s="14">
        <v>3.0</v>
      </c>
      <c r="AA36" s="14">
        <v>3.0</v>
      </c>
      <c r="AB36" s="14">
        <v>3.0</v>
      </c>
      <c r="AC36" s="14">
        <v>3.0</v>
      </c>
      <c r="AD36" s="14">
        <v>3.0</v>
      </c>
      <c r="AE36" s="14">
        <v>3.0</v>
      </c>
      <c r="AF36" s="14">
        <v>3.0</v>
      </c>
      <c r="AG36" s="14">
        <v>3.0</v>
      </c>
      <c r="AH36" s="14">
        <v>3.0</v>
      </c>
      <c r="AI36" s="14">
        <v>3.0</v>
      </c>
      <c r="AJ36" s="14">
        <v>3.0</v>
      </c>
      <c r="AK36" s="14">
        <v>3.0</v>
      </c>
      <c r="AL36" s="14">
        <v>3.0</v>
      </c>
      <c r="AM36" s="14">
        <v>3.0</v>
      </c>
      <c r="AN36" s="14">
        <v>3.0</v>
      </c>
      <c r="AO36" s="14">
        <v>3.0</v>
      </c>
      <c r="AP36" s="14">
        <v>3.0</v>
      </c>
      <c r="AQ36" s="14">
        <v>3.0</v>
      </c>
      <c r="AR36" s="14">
        <v>3.0</v>
      </c>
      <c r="AS36" s="14">
        <v>3.0</v>
      </c>
      <c r="AT36" s="14">
        <v>3.0</v>
      </c>
      <c r="AU36" s="14">
        <v>3.0</v>
      </c>
      <c r="AV36" s="14">
        <v>3.0</v>
      </c>
      <c r="AW36" s="14">
        <v>3.0</v>
      </c>
      <c r="AX36" s="14">
        <v>3.0</v>
      </c>
      <c r="AY36" s="14">
        <v>3.0</v>
      </c>
      <c r="AZ36" s="14">
        <v>3.0</v>
      </c>
      <c r="BA36" s="14">
        <v>3.0</v>
      </c>
      <c r="BB36" s="14">
        <v>3.0</v>
      </c>
      <c r="BC36" s="14">
        <v>3.0</v>
      </c>
      <c r="BD36" s="14">
        <v>3.0</v>
      </c>
      <c r="BE36" s="14">
        <v>3.0</v>
      </c>
      <c r="BF36" s="14">
        <v>3.0</v>
      </c>
      <c r="BG36" s="14">
        <v>3.0</v>
      </c>
      <c r="BH36" s="14">
        <v>3.0</v>
      </c>
      <c r="BI36" s="14">
        <v>3.0</v>
      </c>
      <c r="BJ36" s="14">
        <v>3.0</v>
      </c>
      <c r="BK36" s="14">
        <v>3.0</v>
      </c>
      <c r="BL36" s="14">
        <v>3.0</v>
      </c>
      <c r="BM36" s="14">
        <v>3.0</v>
      </c>
      <c r="BN36" s="14">
        <v>3.0</v>
      </c>
      <c r="BO36" s="14">
        <v>3.0</v>
      </c>
      <c r="BP36" s="14">
        <v>3.0</v>
      </c>
      <c r="BQ36" s="14">
        <v>3.0</v>
      </c>
      <c r="BR36" s="14">
        <v>3.0</v>
      </c>
      <c r="BS36" s="14">
        <v>3.0</v>
      </c>
      <c r="BT36" s="14">
        <v>3.0</v>
      </c>
      <c r="BU36" s="14">
        <v>3.0</v>
      </c>
      <c r="BV36" s="14">
        <v>3.0</v>
      </c>
      <c r="BW36" s="14">
        <v>3.0</v>
      </c>
      <c r="BX36" s="14">
        <v>3.0</v>
      </c>
      <c r="BY36" s="14">
        <v>3.0</v>
      </c>
      <c r="BZ36" s="14">
        <v>3.0</v>
      </c>
    </row>
    <row r="37" ht="22.5" customHeight="1">
      <c r="A37" s="13">
        <v>46248.403382222226</v>
      </c>
      <c r="B37" s="14" t="s">
        <v>162</v>
      </c>
      <c r="C37" s="14" t="s">
        <v>328</v>
      </c>
      <c r="D37" s="14">
        <v>2025.0</v>
      </c>
      <c r="E37" s="14" t="s">
        <v>266</v>
      </c>
      <c r="F37" s="14" t="s">
        <v>329</v>
      </c>
      <c r="G37" s="14">
        <v>3.0</v>
      </c>
      <c r="H37" s="14">
        <v>3.0</v>
      </c>
      <c r="I37" s="14">
        <v>3.0</v>
      </c>
      <c r="J37" s="14">
        <v>3.0</v>
      </c>
      <c r="K37" s="14">
        <v>3.0</v>
      </c>
      <c r="L37" s="14">
        <v>3.0</v>
      </c>
      <c r="M37" s="14">
        <v>3.0</v>
      </c>
      <c r="N37" s="14">
        <v>3.0</v>
      </c>
      <c r="O37" s="14">
        <v>3.0</v>
      </c>
      <c r="P37" s="14">
        <v>3.0</v>
      </c>
      <c r="Q37" s="14">
        <v>3.0</v>
      </c>
      <c r="R37" s="14">
        <v>3.0</v>
      </c>
      <c r="S37" s="14">
        <v>3.0</v>
      </c>
      <c r="T37" s="14">
        <v>3.0</v>
      </c>
      <c r="U37" s="14">
        <v>3.0</v>
      </c>
      <c r="V37" s="14">
        <v>3.0</v>
      </c>
      <c r="W37" s="14">
        <v>3.0</v>
      </c>
      <c r="X37" s="14">
        <v>3.0</v>
      </c>
      <c r="Y37" s="14">
        <v>3.0</v>
      </c>
      <c r="Z37" s="14">
        <v>3.0</v>
      </c>
      <c r="AA37" s="14">
        <v>3.0</v>
      </c>
      <c r="AB37" s="14">
        <v>3.0</v>
      </c>
      <c r="AC37" s="14">
        <v>3.0</v>
      </c>
      <c r="AD37" s="14">
        <v>3.0</v>
      </c>
      <c r="AE37" s="14">
        <v>3.0</v>
      </c>
      <c r="AF37" s="14">
        <v>3.0</v>
      </c>
      <c r="AG37" s="14">
        <v>3.0</v>
      </c>
      <c r="AH37" s="14">
        <v>3.0</v>
      </c>
      <c r="AI37" s="14">
        <v>3.0</v>
      </c>
      <c r="AJ37" s="14">
        <v>3.0</v>
      </c>
      <c r="AK37" s="14">
        <v>3.0</v>
      </c>
      <c r="AL37" s="14">
        <v>3.0</v>
      </c>
      <c r="AM37" s="14">
        <v>3.0</v>
      </c>
      <c r="AN37" s="14">
        <v>3.0</v>
      </c>
      <c r="AO37" s="14">
        <v>3.0</v>
      </c>
      <c r="AP37" s="14">
        <v>3.0</v>
      </c>
      <c r="AQ37" s="14">
        <v>3.0</v>
      </c>
      <c r="AR37" s="14">
        <v>3.0</v>
      </c>
      <c r="AS37" s="14">
        <v>3.0</v>
      </c>
      <c r="AT37" s="14">
        <v>3.0</v>
      </c>
      <c r="AU37" s="14">
        <v>3.0</v>
      </c>
      <c r="AV37" s="14">
        <v>3.0</v>
      </c>
      <c r="AW37" s="14">
        <v>3.0</v>
      </c>
      <c r="AX37" s="14">
        <v>3.0</v>
      </c>
      <c r="AY37" s="14">
        <v>3.0</v>
      </c>
      <c r="AZ37" s="14">
        <v>3.0</v>
      </c>
      <c r="BA37" s="14">
        <v>3.0</v>
      </c>
      <c r="BB37" s="14">
        <v>3.0</v>
      </c>
      <c r="BC37" s="14">
        <v>3.0</v>
      </c>
      <c r="BD37" s="14">
        <v>3.0</v>
      </c>
      <c r="BE37" s="14">
        <v>3.0</v>
      </c>
      <c r="BF37" s="14">
        <v>3.0</v>
      </c>
      <c r="BG37" s="14">
        <v>3.0</v>
      </c>
      <c r="BH37" s="14">
        <v>3.0</v>
      </c>
      <c r="BI37" s="14">
        <v>3.0</v>
      </c>
      <c r="BJ37" s="14">
        <v>3.0</v>
      </c>
      <c r="BK37" s="14">
        <v>3.0</v>
      </c>
      <c r="BL37" s="14">
        <v>3.0</v>
      </c>
      <c r="BM37" s="14">
        <v>3.0</v>
      </c>
      <c r="BN37" s="14">
        <v>3.0</v>
      </c>
      <c r="BO37" s="14">
        <v>3.0</v>
      </c>
      <c r="BP37" s="14">
        <v>3.0</v>
      </c>
      <c r="BQ37" s="14">
        <v>3.0</v>
      </c>
      <c r="BR37" s="14">
        <v>3.0</v>
      </c>
      <c r="BS37" s="14">
        <v>3.0</v>
      </c>
      <c r="BT37" s="14">
        <v>3.0</v>
      </c>
      <c r="BU37" s="14">
        <v>3.0</v>
      </c>
      <c r="BV37" s="14">
        <v>3.0</v>
      </c>
      <c r="BW37" s="14">
        <v>3.0</v>
      </c>
      <c r="BX37" s="14">
        <v>3.0</v>
      </c>
      <c r="BY37" s="14">
        <v>3.0</v>
      </c>
      <c r="BZ37" s="14">
        <v>3.0</v>
      </c>
    </row>
    <row r="38" ht="22.5" customHeight="1">
      <c r="A38" s="13">
        <v>46248.40342912037</v>
      </c>
      <c r="B38" s="14" t="s">
        <v>162</v>
      </c>
      <c r="C38" s="14" t="s">
        <v>328</v>
      </c>
      <c r="D38" s="14">
        <v>2025.0</v>
      </c>
      <c r="E38" s="14" t="s">
        <v>266</v>
      </c>
      <c r="F38" s="14" t="s">
        <v>329</v>
      </c>
      <c r="G38" s="14">
        <v>3.0</v>
      </c>
      <c r="H38" s="14">
        <v>3.0</v>
      </c>
      <c r="I38" s="14">
        <v>3.0</v>
      </c>
      <c r="J38" s="14">
        <v>3.0</v>
      </c>
      <c r="K38" s="14">
        <v>3.0</v>
      </c>
      <c r="L38" s="14">
        <v>3.0</v>
      </c>
      <c r="M38" s="14">
        <v>3.0</v>
      </c>
      <c r="N38" s="14">
        <v>3.0</v>
      </c>
      <c r="O38" s="14">
        <v>3.0</v>
      </c>
      <c r="P38" s="14">
        <v>3.0</v>
      </c>
      <c r="Q38" s="14">
        <v>3.0</v>
      </c>
      <c r="R38" s="14">
        <v>3.0</v>
      </c>
      <c r="S38" s="14">
        <v>3.0</v>
      </c>
      <c r="T38" s="14">
        <v>3.0</v>
      </c>
      <c r="U38" s="14">
        <v>3.0</v>
      </c>
      <c r="V38" s="14">
        <v>3.0</v>
      </c>
      <c r="W38" s="14">
        <v>3.0</v>
      </c>
      <c r="X38" s="14">
        <v>3.0</v>
      </c>
      <c r="Y38" s="14">
        <v>3.0</v>
      </c>
      <c r="Z38" s="14">
        <v>3.0</v>
      </c>
      <c r="AA38" s="14">
        <v>3.0</v>
      </c>
      <c r="AB38" s="14">
        <v>3.0</v>
      </c>
      <c r="AC38" s="14">
        <v>3.0</v>
      </c>
      <c r="AD38" s="14">
        <v>3.0</v>
      </c>
      <c r="AE38" s="14">
        <v>3.0</v>
      </c>
      <c r="AF38" s="14">
        <v>3.0</v>
      </c>
      <c r="AG38" s="14">
        <v>3.0</v>
      </c>
      <c r="AH38" s="14">
        <v>3.0</v>
      </c>
      <c r="AI38" s="14">
        <v>3.0</v>
      </c>
      <c r="AJ38" s="14">
        <v>3.0</v>
      </c>
      <c r="AK38" s="14">
        <v>3.0</v>
      </c>
      <c r="AL38" s="14">
        <v>3.0</v>
      </c>
      <c r="AM38" s="14">
        <v>3.0</v>
      </c>
      <c r="AN38" s="14">
        <v>3.0</v>
      </c>
      <c r="AO38" s="14">
        <v>3.0</v>
      </c>
      <c r="AP38" s="14">
        <v>3.0</v>
      </c>
      <c r="AQ38" s="14">
        <v>3.0</v>
      </c>
      <c r="AR38" s="14">
        <v>3.0</v>
      </c>
      <c r="AS38" s="14">
        <v>3.0</v>
      </c>
      <c r="AT38" s="14">
        <v>3.0</v>
      </c>
      <c r="AU38" s="14">
        <v>3.0</v>
      </c>
      <c r="AV38" s="14">
        <v>3.0</v>
      </c>
      <c r="AW38" s="14">
        <v>3.0</v>
      </c>
      <c r="AX38" s="14">
        <v>3.0</v>
      </c>
      <c r="AY38" s="14">
        <v>3.0</v>
      </c>
      <c r="AZ38" s="14">
        <v>3.0</v>
      </c>
      <c r="BA38" s="14">
        <v>3.0</v>
      </c>
      <c r="BB38" s="14">
        <v>3.0</v>
      </c>
      <c r="BC38" s="14">
        <v>3.0</v>
      </c>
      <c r="BD38" s="14">
        <v>3.0</v>
      </c>
      <c r="BE38" s="14">
        <v>3.0</v>
      </c>
      <c r="BF38" s="14">
        <v>3.0</v>
      </c>
      <c r="BG38" s="14">
        <v>3.0</v>
      </c>
      <c r="BH38" s="14">
        <v>3.0</v>
      </c>
      <c r="BI38" s="14">
        <v>3.0</v>
      </c>
      <c r="BJ38" s="14">
        <v>3.0</v>
      </c>
      <c r="BK38" s="14">
        <v>3.0</v>
      </c>
      <c r="BL38" s="14">
        <v>3.0</v>
      </c>
      <c r="BM38" s="14">
        <v>3.0</v>
      </c>
      <c r="BN38" s="14">
        <v>3.0</v>
      </c>
      <c r="BO38" s="14">
        <v>3.0</v>
      </c>
      <c r="BP38" s="14">
        <v>3.0</v>
      </c>
      <c r="BQ38" s="14">
        <v>3.0</v>
      </c>
      <c r="BR38" s="14">
        <v>3.0</v>
      </c>
      <c r="BS38" s="14">
        <v>3.0</v>
      </c>
      <c r="BT38" s="14">
        <v>3.0</v>
      </c>
      <c r="BU38" s="14">
        <v>3.0</v>
      </c>
      <c r="BV38" s="14">
        <v>3.0</v>
      </c>
      <c r="BW38" s="14">
        <v>3.0</v>
      </c>
      <c r="BX38" s="14">
        <v>3.0</v>
      </c>
      <c r="BY38" s="14">
        <v>3.0</v>
      </c>
      <c r="BZ38" s="14">
        <v>3.0</v>
      </c>
    </row>
    <row r="39" ht="22.5" customHeight="1">
      <c r="A39" s="13">
        <v>46248.403433900465</v>
      </c>
      <c r="B39" s="14" t="s">
        <v>162</v>
      </c>
      <c r="C39" s="14" t="s">
        <v>335</v>
      </c>
      <c r="D39" s="14">
        <v>2022.0</v>
      </c>
      <c r="E39" s="14" t="s">
        <v>296</v>
      </c>
      <c r="F39" s="14" t="s">
        <v>336</v>
      </c>
      <c r="G39" s="14">
        <v>1.0</v>
      </c>
      <c r="H39" s="14">
        <v>4.0</v>
      </c>
      <c r="I39" s="14">
        <v>2.0</v>
      </c>
      <c r="J39" s="14">
        <v>5.0</v>
      </c>
      <c r="K39" s="14">
        <v>5.0</v>
      </c>
      <c r="L39" s="14">
        <v>5.0</v>
      </c>
      <c r="M39" s="14">
        <v>5.0</v>
      </c>
      <c r="N39" s="14">
        <v>5.0</v>
      </c>
      <c r="O39" s="14">
        <v>4.0</v>
      </c>
      <c r="P39" s="14">
        <v>5.0</v>
      </c>
      <c r="Q39" s="14">
        <v>5.0</v>
      </c>
      <c r="R39" s="14">
        <v>5.0</v>
      </c>
      <c r="S39" s="14">
        <v>2.0</v>
      </c>
      <c r="T39" s="14">
        <v>5.0</v>
      </c>
      <c r="U39" s="14">
        <v>4.0</v>
      </c>
      <c r="V39" s="14">
        <v>4.0</v>
      </c>
      <c r="W39" s="14">
        <v>5.0</v>
      </c>
      <c r="X39" s="14">
        <v>4.0</v>
      </c>
      <c r="Y39" s="14">
        <v>4.0</v>
      </c>
      <c r="Z39" s="14">
        <v>4.0</v>
      </c>
      <c r="AA39" s="14">
        <v>2.0</v>
      </c>
      <c r="AB39" s="14">
        <v>5.0</v>
      </c>
      <c r="AC39" s="14">
        <v>5.0</v>
      </c>
      <c r="AD39" s="14">
        <v>5.0</v>
      </c>
      <c r="AE39" s="14">
        <v>2.0</v>
      </c>
      <c r="AF39" s="14">
        <v>5.0</v>
      </c>
      <c r="AG39" s="14">
        <v>5.0</v>
      </c>
      <c r="AH39" s="14">
        <v>5.0</v>
      </c>
      <c r="AI39" s="14">
        <v>5.0</v>
      </c>
      <c r="AJ39" s="14">
        <v>5.0</v>
      </c>
      <c r="AK39" s="14">
        <v>2.0</v>
      </c>
      <c r="AL39" s="14">
        <v>5.0</v>
      </c>
      <c r="AM39" s="14">
        <v>2.0</v>
      </c>
      <c r="AN39" s="14">
        <v>4.0</v>
      </c>
      <c r="AO39" s="14">
        <v>5.0</v>
      </c>
      <c r="AP39" s="14">
        <v>4.0</v>
      </c>
      <c r="AQ39" s="14">
        <v>4.0</v>
      </c>
      <c r="AR39" s="14">
        <v>4.0</v>
      </c>
      <c r="AS39" s="14">
        <v>5.0</v>
      </c>
      <c r="AT39" s="14">
        <v>5.0</v>
      </c>
      <c r="AU39" s="14">
        <v>5.0</v>
      </c>
      <c r="AV39" s="14">
        <v>5.0</v>
      </c>
      <c r="AW39" s="14">
        <v>4.0</v>
      </c>
      <c r="AX39" s="14">
        <v>4.0</v>
      </c>
      <c r="AY39" s="14">
        <v>4.0</v>
      </c>
      <c r="AZ39" s="14">
        <v>5.0</v>
      </c>
      <c r="BA39" s="14">
        <v>5.0</v>
      </c>
      <c r="BB39" s="14">
        <v>5.0</v>
      </c>
      <c r="BC39" s="14">
        <v>5.0</v>
      </c>
      <c r="BD39" s="14">
        <v>5.0</v>
      </c>
      <c r="BE39" s="14">
        <v>1.0</v>
      </c>
      <c r="BF39" s="14">
        <v>4.0</v>
      </c>
      <c r="BG39" s="14">
        <v>4.0</v>
      </c>
      <c r="BH39" s="14">
        <v>4.0</v>
      </c>
      <c r="BI39" s="14">
        <v>4.0</v>
      </c>
      <c r="BJ39" s="14">
        <v>4.0</v>
      </c>
      <c r="BK39" s="14">
        <v>4.0</v>
      </c>
      <c r="BL39" s="14">
        <v>4.0</v>
      </c>
      <c r="BM39" s="14">
        <v>4.0</v>
      </c>
      <c r="BN39" s="14">
        <v>4.0</v>
      </c>
      <c r="BO39" s="14">
        <v>3.0</v>
      </c>
      <c r="BP39" s="14">
        <v>3.0</v>
      </c>
      <c r="BQ39" s="14">
        <v>5.0</v>
      </c>
      <c r="BR39" s="14">
        <v>5.0</v>
      </c>
      <c r="BS39" s="14">
        <v>5.0</v>
      </c>
      <c r="BT39" s="14">
        <v>5.0</v>
      </c>
      <c r="BU39" s="14">
        <v>5.0</v>
      </c>
      <c r="BV39" s="14">
        <v>5.0</v>
      </c>
      <c r="BW39" s="14">
        <v>5.0</v>
      </c>
      <c r="BX39" s="14">
        <v>5.0</v>
      </c>
      <c r="BY39" s="14">
        <v>5.0</v>
      </c>
      <c r="BZ39" s="14">
        <v>5.0</v>
      </c>
    </row>
    <row r="40" ht="22.5" customHeight="1">
      <c r="A40" s="13">
        <v>46248.40382706019</v>
      </c>
      <c r="B40" s="14" t="s">
        <v>162</v>
      </c>
      <c r="C40" s="14" t="s">
        <v>339</v>
      </c>
      <c r="D40" s="14">
        <v>2025.0</v>
      </c>
      <c r="E40" s="14" t="s">
        <v>340</v>
      </c>
      <c r="F40" s="14" t="s">
        <v>341</v>
      </c>
      <c r="G40" s="14">
        <v>2.0</v>
      </c>
      <c r="H40" s="14">
        <v>2.0</v>
      </c>
      <c r="I40" s="14">
        <v>2.0</v>
      </c>
      <c r="J40" s="14">
        <v>4.0</v>
      </c>
      <c r="K40" s="14">
        <v>4.0</v>
      </c>
      <c r="L40" s="14">
        <v>3.0</v>
      </c>
      <c r="M40" s="14">
        <v>3.0</v>
      </c>
      <c r="N40" s="14">
        <v>2.0</v>
      </c>
      <c r="O40" s="14">
        <v>3.0</v>
      </c>
      <c r="P40" s="14">
        <v>4.0</v>
      </c>
      <c r="Q40" s="14">
        <v>3.0</v>
      </c>
      <c r="R40" s="14">
        <v>5.0</v>
      </c>
      <c r="S40" s="14">
        <v>4.0</v>
      </c>
      <c r="T40" s="14">
        <v>3.0</v>
      </c>
      <c r="U40" s="14">
        <v>3.0</v>
      </c>
      <c r="V40" s="14">
        <v>3.0</v>
      </c>
      <c r="W40" s="14">
        <v>3.0</v>
      </c>
      <c r="X40" s="14">
        <v>3.0</v>
      </c>
      <c r="Y40" s="14">
        <v>2.0</v>
      </c>
      <c r="Z40" s="14">
        <v>3.0</v>
      </c>
      <c r="AA40" s="14">
        <v>4.0</v>
      </c>
      <c r="AB40" s="14">
        <v>4.0</v>
      </c>
      <c r="AC40" s="14">
        <v>3.0</v>
      </c>
      <c r="AD40" s="14">
        <v>3.0</v>
      </c>
      <c r="AE40" s="14">
        <v>2.0</v>
      </c>
      <c r="AF40" s="14">
        <v>3.0</v>
      </c>
      <c r="AG40" s="14">
        <v>2.0</v>
      </c>
      <c r="AH40" s="14">
        <v>4.0</v>
      </c>
      <c r="AI40" s="14">
        <v>3.0</v>
      </c>
      <c r="AJ40" s="14">
        <v>3.0</v>
      </c>
      <c r="AK40" s="14">
        <v>3.0</v>
      </c>
      <c r="AL40" s="14">
        <v>3.0</v>
      </c>
      <c r="AM40" s="14">
        <v>2.0</v>
      </c>
      <c r="AN40" s="14">
        <v>3.0</v>
      </c>
      <c r="AO40" s="14">
        <v>3.0</v>
      </c>
      <c r="AP40" s="14">
        <v>2.0</v>
      </c>
      <c r="AQ40" s="14">
        <v>3.0</v>
      </c>
      <c r="AR40" s="14">
        <v>2.0</v>
      </c>
      <c r="AS40" s="14">
        <v>3.0</v>
      </c>
      <c r="AT40" s="14">
        <v>3.0</v>
      </c>
      <c r="AU40" s="14">
        <v>4.0</v>
      </c>
      <c r="AV40" s="14">
        <v>4.0</v>
      </c>
      <c r="AW40" s="14">
        <v>2.0</v>
      </c>
      <c r="AX40" s="14">
        <v>3.0</v>
      </c>
      <c r="AY40" s="14">
        <v>3.0</v>
      </c>
      <c r="AZ40" s="14">
        <v>3.0</v>
      </c>
      <c r="BA40" s="14">
        <v>3.0</v>
      </c>
      <c r="BB40" s="14">
        <v>4.0</v>
      </c>
      <c r="BC40" s="14">
        <v>3.0</v>
      </c>
      <c r="BD40" s="14">
        <v>2.0</v>
      </c>
      <c r="BE40" s="14">
        <v>2.0</v>
      </c>
      <c r="BF40" s="14">
        <v>3.0</v>
      </c>
      <c r="BG40" s="14">
        <v>4.0</v>
      </c>
      <c r="BH40" s="14">
        <v>4.0</v>
      </c>
      <c r="BI40" s="14">
        <v>3.0</v>
      </c>
      <c r="BJ40" s="14">
        <v>4.0</v>
      </c>
      <c r="BK40" s="14">
        <v>3.0</v>
      </c>
      <c r="BL40" s="14">
        <v>4.0</v>
      </c>
      <c r="BM40" s="14">
        <v>4.0</v>
      </c>
      <c r="BN40" s="14">
        <v>4.0</v>
      </c>
      <c r="BO40" s="14">
        <v>3.0</v>
      </c>
      <c r="BP40" s="14">
        <v>2.0</v>
      </c>
      <c r="BQ40" s="14">
        <v>3.0</v>
      </c>
      <c r="BR40" s="14">
        <v>3.0</v>
      </c>
      <c r="BS40" s="14">
        <v>3.0</v>
      </c>
      <c r="BT40" s="14">
        <v>4.0</v>
      </c>
      <c r="BU40" s="14">
        <v>2.0</v>
      </c>
      <c r="BV40" s="14">
        <v>2.0</v>
      </c>
      <c r="BW40" s="14">
        <v>2.0</v>
      </c>
      <c r="BX40" s="14">
        <v>3.0</v>
      </c>
      <c r="BY40" s="14">
        <v>3.0</v>
      </c>
      <c r="BZ40" s="14">
        <v>3.0</v>
      </c>
    </row>
    <row r="41" ht="22.5" customHeight="1">
      <c r="A41" s="13">
        <v>46248.403901770835</v>
      </c>
      <c r="B41" s="14" t="s">
        <v>162</v>
      </c>
      <c r="C41" s="14" t="s">
        <v>344</v>
      </c>
      <c r="D41" s="14">
        <v>2026.0</v>
      </c>
      <c r="E41" s="14" t="s">
        <v>277</v>
      </c>
      <c r="F41" s="14" t="s">
        <v>345</v>
      </c>
      <c r="G41" s="14">
        <v>3.0</v>
      </c>
      <c r="H41" s="14">
        <v>3.0</v>
      </c>
      <c r="I41" s="14">
        <v>3.0</v>
      </c>
      <c r="J41" s="14">
        <v>5.0</v>
      </c>
      <c r="K41" s="14">
        <v>5.0</v>
      </c>
      <c r="L41" s="14">
        <v>3.0</v>
      </c>
      <c r="M41" s="14">
        <v>4.0</v>
      </c>
      <c r="N41" s="14">
        <v>2.0</v>
      </c>
      <c r="O41" s="14">
        <v>3.0</v>
      </c>
      <c r="P41" s="14">
        <v>3.0</v>
      </c>
      <c r="Q41" s="14">
        <v>3.0</v>
      </c>
      <c r="R41" s="14">
        <v>3.0</v>
      </c>
      <c r="S41" s="14">
        <v>5.0</v>
      </c>
      <c r="T41" s="14">
        <v>3.0</v>
      </c>
      <c r="U41" s="14">
        <v>3.0</v>
      </c>
      <c r="V41" s="14">
        <v>5.0</v>
      </c>
      <c r="W41" s="14">
        <v>5.0</v>
      </c>
      <c r="X41" s="14">
        <v>2.0</v>
      </c>
      <c r="Y41" s="14">
        <v>2.0</v>
      </c>
      <c r="Z41" s="14">
        <v>4.0</v>
      </c>
      <c r="AA41" s="14">
        <v>3.0</v>
      </c>
      <c r="AB41" s="14">
        <v>5.0</v>
      </c>
      <c r="AC41" s="14">
        <v>5.0</v>
      </c>
      <c r="AD41" s="14">
        <v>3.0</v>
      </c>
      <c r="AE41" s="14">
        <v>2.0</v>
      </c>
      <c r="AF41" s="14">
        <v>3.0</v>
      </c>
      <c r="AG41" s="14">
        <v>4.0</v>
      </c>
      <c r="AH41" s="14">
        <v>5.0</v>
      </c>
      <c r="AI41" s="14">
        <v>4.0</v>
      </c>
      <c r="AJ41" s="14">
        <v>5.0</v>
      </c>
      <c r="AK41" s="14">
        <v>3.0</v>
      </c>
      <c r="AL41" s="14">
        <v>5.0</v>
      </c>
      <c r="AM41" s="14">
        <v>3.0</v>
      </c>
      <c r="AN41" s="14">
        <v>5.0</v>
      </c>
      <c r="AO41" s="14">
        <v>5.0</v>
      </c>
      <c r="AP41" s="14">
        <v>2.0</v>
      </c>
      <c r="AQ41" s="14">
        <v>5.0</v>
      </c>
      <c r="AR41" s="14">
        <v>3.0</v>
      </c>
      <c r="AS41" s="14">
        <v>5.0</v>
      </c>
      <c r="AT41" s="14">
        <v>5.0</v>
      </c>
      <c r="AU41" s="14">
        <v>3.0</v>
      </c>
      <c r="AV41" s="14">
        <v>5.0</v>
      </c>
      <c r="AW41" s="14">
        <v>3.0</v>
      </c>
      <c r="AX41" s="14">
        <v>3.0</v>
      </c>
      <c r="AY41" s="14">
        <v>5.0</v>
      </c>
      <c r="AZ41" s="14">
        <v>5.0</v>
      </c>
      <c r="BA41" s="14">
        <v>5.0</v>
      </c>
      <c r="BB41" s="14">
        <v>5.0</v>
      </c>
      <c r="BC41" s="14">
        <v>3.0</v>
      </c>
      <c r="BD41" s="14">
        <v>5.0</v>
      </c>
      <c r="BE41" s="14">
        <v>3.0</v>
      </c>
      <c r="BF41" s="14">
        <v>5.0</v>
      </c>
      <c r="BG41" s="14">
        <v>5.0</v>
      </c>
      <c r="BH41" s="14">
        <v>5.0</v>
      </c>
      <c r="BI41" s="14">
        <v>5.0</v>
      </c>
      <c r="BJ41" s="14">
        <v>3.0</v>
      </c>
      <c r="BK41" s="14">
        <v>5.0</v>
      </c>
      <c r="BL41" s="14">
        <v>4.0</v>
      </c>
      <c r="BM41" s="14">
        <v>5.0</v>
      </c>
      <c r="BN41" s="14">
        <v>5.0</v>
      </c>
      <c r="BO41" s="14">
        <v>2.0</v>
      </c>
      <c r="BP41" s="14">
        <v>2.0</v>
      </c>
      <c r="BQ41" s="14">
        <v>5.0</v>
      </c>
      <c r="BR41" s="14">
        <v>4.0</v>
      </c>
      <c r="BS41" s="14">
        <v>5.0</v>
      </c>
      <c r="BT41" s="14">
        <v>5.0</v>
      </c>
      <c r="BU41" s="14">
        <v>3.0</v>
      </c>
      <c r="BV41" s="14">
        <v>3.0</v>
      </c>
      <c r="BW41" s="14">
        <v>5.0</v>
      </c>
      <c r="BX41" s="14">
        <v>5.0</v>
      </c>
      <c r="BY41" s="14">
        <v>4.0</v>
      </c>
      <c r="BZ41" s="14">
        <v>5.0</v>
      </c>
    </row>
    <row r="42" ht="22.5" customHeight="1">
      <c r="A42" s="13">
        <v>46248.404032094906</v>
      </c>
      <c r="B42" s="14" t="s">
        <v>162</v>
      </c>
      <c r="C42" s="14" t="s">
        <v>348</v>
      </c>
      <c r="D42" s="14">
        <v>2024.0</v>
      </c>
      <c r="E42" s="14" t="s">
        <v>349</v>
      </c>
      <c r="F42" s="14" t="s">
        <v>350</v>
      </c>
      <c r="G42" s="14">
        <v>3.0</v>
      </c>
      <c r="H42" s="14">
        <v>3.0</v>
      </c>
      <c r="I42" s="14">
        <v>3.0</v>
      </c>
      <c r="J42" s="14">
        <v>4.0</v>
      </c>
      <c r="K42" s="14">
        <v>4.0</v>
      </c>
      <c r="L42" s="14">
        <v>3.0</v>
      </c>
      <c r="M42" s="14">
        <v>3.0</v>
      </c>
      <c r="N42" s="14">
        <v>3.0</v>
      </c>
      <c r="O42" s="14">
        <v>4.0</v>
      </c>
      <c r="P42" s="14">
        <v>4.0</v>
      </c>
      <c r="Q42" s="14">
        <v>4.0</v>
      </c>
      <c r="R42" s="14">
        <v>4.0</v>
      </c>
      <c r="S42" s="14">
        <v>3.0</v>
      </c>
      <c r="T42" s="14">
        <v>4.0</v>
      </c>
      <c r="U42" s="14">
        <v>4.0</v>
      </c>
      <c r="V42" s="14">
        <v>4.0</v>
      </c>
      <c r="W42" s="14">
        <v>3.0</v>
      </c>
      <c r="X42" s="14">
        <v>3.0</v>
      </c>
      <c r="Y42" s="14">
        <v>3.0</v>
      </c>
      <c r="Z42" s="14">
        <v>4.0</v>
      </c>
      <c r="AA42" s="14">
        <v>4.0</v>
      </c>
      <c r="AB42" s="14">
        <v>4.0</v>
      </c>
      <c r="AC42" s="14">
        <v>4.0</v>
      </c>
      <c r="AD42" s="14">
        <v>3.0</v>
      </c>
      <c r="AE42" s="14">
        <v>3.0</v>
      </c>
      <c r="AF42" s="14">
        <v>3.0</v>
      </c>
      <c r="AG42" s="14">
        <v>4.0</v>
      </c>
      <c r="AH42" s="14">
        <v>4.0</v>
      </c>
      <c r="AI42" s="14">
        <v>4.0</v>
      </c>
      <c r="AJ42" s="14">
        <v>4.0</v>
      </c>
      <c r="AK42" s="14">
        <v>3.0</v>
      </c>
      <c r="AL42" s="14">
        <v>3.0</v>
      </c>
      <c r="AM42" s="14">
        <v>3.0</v>
      </c>
      <c r="AN42" s="14">
        <v>3.0</v>
      </c>
      <c r="AO42" s="14">
        <v>4.0</v>
      </c>
      <c r="AP42" s="14">
        <v>3.0</v>
      </c>
      <c r="AQ42" s="14">
        <v>4.0</v>
      </c>
      <c r="AR42" s="14">
        <v>3.0</v>
      </c>
      <c r="AS42" s="14">
        <v>3.0</v>
      </c>
      <c r="AT42" s="14">
        <v>4.0</v>
      </c>
      <c r="AU42" s="14">
        <v>4.0</v>
      </c>
      <c r="AV42" s="14">
        <v>4.0</v>
      </c>
      <c r="AW42" s="14">
        <v>3.0</v>
      </c>
      <c r="AX42" s="14">
        <v>3.0</v>
      </c>
      <c r="AY42" s="14">
        <v>4.0</v>
      </c>
      <c r="AZ42" s="14">
        <v>4.0</v>
      </c>
      <c r="BA42" s="14">
        <v>3.0</v>
      </c>
      <c r="BB42" s="14">
        <v>3.0</v>
      </c>
      <c r="BC42" s="14">
        <v>3.0</v>
      </c>
      <c r="BD42" s="14">
        <v>4.0</v>
      </c>
      <c r="BE42" s="14">
        <v>4.0</v>
      </c>
      <c r="BF42" s="14">
        <v>3.0</v>
      </c>
      <c r="BG42" s="14">
        <v>4.0</v>
      </c>
      <c r="BH42" s="14">
        <v>4.0</v>
      </c>
      <c r="BI42" s="14">
        <v>4.0</v>
      </c>
      <c r="BJ42" s="14">
        <v>3.0</v>
      </c>
      <c r="BK42" s="14">
        <v>4.0</v>
      </c>
      <c r="BL42" s="14">
        <v>4.0</v>
      </c>
      <c r="BM42" s="14">
        <v>4.0</v>
      </c>
      <c r="BN42" s="14">
        <v>4.0</v>
      </c>
      <c r="BO42" s="14">
        <v>4.0</v>
      </c>
      <c r="BP42" s="14">
        <v>4.0</v>
      </c>
      <c r="BQ42" s="14">
        <v>4.0</v>
      </c>
      <c r="BR42" s="14">
        <v>4.0</v>
      </c>
      <c r="BS42" s="14">
        <v>4.0</v>
      </c>
      <c r="BT42" s="14">
        <v>4.0</v>
      </c>
      <c r="BU42" s="14">
        <v>3.0</v>
      </c>
      <c r="BV42" s="14">
        <v>4.0</v>
      </c>
      <c r="BW42" s="14">
        <v>3.0</v>
      </c>
      <c r="BX42" s="14">
        <v>4.0</v>
      </c>
      <c r="BY42" s="14">
        <v>3.0</v>
      </c>
      <c r="BZ42" s="14">
        <v>4.0</v>
      </c>
    </row>
    <row r="43" ht="22.5" customHeight="1">
      <c r="A43" s="13">
        <v>46248.40408414352</v>
      </c>
      <c r="B43" s="14" t="s">
        <v>162</v>
      </c>
      <c r="C43" s="14" t="s">
        <v>354</v>
      </c>
      <c r="D43" s="14" t="s">
        <v>355</v>
      </c>
      <c r="E43" s="14" t="s">
        <v>356</v>
      </c>
      <c r="F43" s="14" t="s">
        <v>357</v>
      </c>
      <c r="G43" s="14">
        <v>2.0</v>
      </c>
      <c r="H43" s="14">
        <v>3.0</v>
      </c>
      <c r="I43" s="14">
        <v>4.0</v>
      </c>
      <c r="J43" s="14">
        <v>3.0</v>
      </c>
      <c r="K43" s="14">
        <v>3.0</v>
      </c>
      <c r="L43" s="14">
        <v>5.0</v>
      </c>
      <c r="M43" s="14">
        <v>4.0</v>
      </c>
      <c r="N43" s="14">
        <v>4.0</v>
      </c>
      <c r="O43" s="14">
        <v>2.0</v>
      </c>
      <c r="P43" s="14">
        <v>2.0</v>
      </c>
      <c r="Q43" s="14">
        <v>2.0</v>
      </c>
      <c r="R43" s="14">
        <v>5.0</v>
      </c>
      <c r="S43" s="14">
        <v>5.0</v>
      </c>
      <c r="T43" s="14">
        <v>5.0</v>
      </c>
      <c r="U43" s="14">
        <v>5.0</v>
      </c>
      <c r="V43" s="14">
        <v>5.0</v>
      </c>
      <c r="W43" s="14">
        <v>3.0</v>
      </c>
      <c r="X43" s="14">
        <v>3.0</v>
      </c>
      <c r="Y43" s="14">
        <v>4.0</v>
      </c>
      <c r="Z43" s="14">
        <v>4.0</v>
      </c>
      <c r="AA43" s="14">
        <v>5.0</v>
      </c>
      <c r="AB43" s="14">
        <v>4.0</v>
      </c>
      <c r="AC43" s="14">
        <v>5.0</v>
      </c>
      <c r="AD43" s="14">
        <v>5.0</v>
      </c>
      <c r="AE43" s="14">
        <v>2.0</v>
      </c>
      <c r="AF43" s="14">
        <v>5.0</v>
      </c>
      <c r="AG43" s="14">
        <v>4.0</v>
      </c>
      <c r="AH43" s="14">
        <v>5.0</v>
      </c>
      <c r="AI43" s="14">
        <v>5.0</v>
      </c>
      <c r="AJ43" s="14">
        <v>5.0</v>
      </c>
      <c r="AK43" s="14">
        <v>4.0</v>
      </c>
      <c r="AL43" s="14">
        <v>5.0</v>
      </c>
      <c r="AM43" s="14">
        <v>5.0</v>
      </c>
      <c r="AN43" s="14">
        <v>3.0</v>
      </c>
      <c r="AO43" s="14">
        <v>2.0</v>
      </c>
      <c r="AP43" s="14">
        <v>5.0</v>
      </c>
      <c r="AQ43" s="14">
        <v>5.0</v>
      </c>
      <c r="AR43" s="14">
        <v>2.0</v>
      </c>
      <c r="AS43" s="14">
        <v>1.0</v>
      </c>
      <c r="AT43" s="14">
        <v>3.0</v>
      </c>
      <c r="AU43" s="14">
        <v>4.0</v>
      </c>
      <c r="AV43" s="14">
        <v>4.0</v>
      </c>
      <c r="AW43" s="14">
        <v>2.0</v>
      </c>
      <c r="AX43" s="14">
        <v>4.0</v>
      </c>
      <c r="AY43" s="14">
        <v>5.0</v>
      </c>
      <c r="AZ43" s="14">
        <v>5.0</v>
      </c>
      <c r="BA43" s="14">
        <v>3.0</v>
      </c>
      <c r="BB43" s="14">
        <v>5.0</v>
      </c>
      <c r="BC43" s="14">
        <v>5.0</v>
      </c>
      <c r="BD43" s="14">
        <v>5.0</v>
      </c>
      <c r="BE43" s="14">
        <v>5.0</v>
      </c>
      <c r="BF43" s="14">
        <v>5.0</v>
      </c>
      <c r="BG43" s="14">
        <v>4.0</v>
      </c>
      <c r="BH43" s="14">
        <v>4.0</v>
      </c>
      <c r="BI43" s="14">
        <v>4.0</v>
      </c>
      <c r="BJ43" s="14">
        <v>5.0</v>
      </c>
      <c r="BK43" s="14">
        <v>2.0</v>
      </c>
      <c r="BL43" s="14">
        <v>5.0</v>
      </c>
      <c r="BM43" s="14">
        <v>2.0</v>
      </c>
      <c r="BN43" s="14">
        <v>4.0</v>
      </c>
      <c r="BO43" s="14">
        <v>5.0</v>
      </c>
      <c r="BP43" s="14">
        <v>2.0</v>
      </c>
      <c r="BQ43" s="14">
        <v>5.0</v>
      </c>
      <c r="BR43" s="14">
        <v>4.0</v>
      </c>
      <c r="BS43" s="14">
        <v>3.0</v>
      </c>
      <c r="BT43" s="14">
        <v>5.0</v>
      </c>
      <c r="BU43" s="14">
        <v>4.0</v>
      </c>
      <c r="BV43" s="14">
        <v>4.0</v>
      </c>
      <c r="BW43" s="14">
        <v>5.0</v>
      </c>
      <c r="BX43" s="14">
        <v>5.0</v>
      </c>
      <c r="BY43" s="14">
        <v>5.0</v>
      </c>
      <c r="BZ43" s="14">
        <v>5.0</v>
      </c>
    </row>
    <row r="44" ht="22.5" customHeight="1">
      <c r="A44" s="13">
        <v>46248.40431150463</v>
      </c>
      <c r="B44" s="14" t="s">
        <v>162</v>
      </c>
      <c r="C44" s="14" t="s">
        <v>360</v>
      </c>
      <c r="D44" s="14">
        <v>2025.0</v>
      </c>
      <c r="E44" s="14" t="s">
        <v>266</v>
      </c>
      <c r="F44" s="14" t="s">
        <v>361</v>
      </c>
      <c r="G44" s="14">
        <v>2.0</v>
      </c>
      <c r="H44" s="14">
        <v>2.0</v>
      </c>
      <c r="I44" s="14">
        <v>4.0</v>
      </c>
      <c r="J44" s="14">
        <v>2.0</v>
      </c>
      <c r="K44" s="14">
        <v>2.0</v>
      </c>
      <c r="L44" s="14">
        <v>4.0</v>
      </c>
      <c r="M44" s="14">
        <v>2.0</v>
      </c>
      <c r="N44" s="14">
        <v>3.0</v>
      </c>
      <c r="O44" s="14">
        <v>3.0</v>
      </c>
      <c r="P44" s="14">
        <v>4.0</v>
      </c>
      <c r="Q44" s="14">
        <v>2.0</v>
      </c>
      <c r="R44" s="14">
        <v>3.0</v>
      </c>
      <c r="S44" s="14">
        <v>2.0</v>
      </c>
      <c r="T44" s="14">
        <v>2.0</v>
      </c>
      <c r="U44" s="14">
        <v>4.0</v>
      </c>
      <c r="V44" s="14">
        <v>4.0</v>
      </c>
      <c r="W44" s="14">
        <v>3.0</v>
      </c>
      <c r="X44" s="14">
        <v>2.0</v>
      </c>
      <c r="Y44" s="14">
        <v>2.0</v>
      </c>
      <c r="Z44" s="14">
        <v>2.0</v>
      </c>
      <c r="AA44" s="14">
        <v>3.0</v>
      </c>
      <c r="AB44" s="14">
        <v>3.0</v>
      </c>
      <c r="AC44" s="14">
        <v>3.0</v>
      </c>
      <c r="AD44" s="14">
        <v>4.0</v>
      </c>
      <c r="AE44" s="14">
        <v>2.0</v>
      </c>
      <c r="AF44" s="14">
        <v>2.0</v>
      </c>
      <c r="AG44" s="14">
        <v>3.0</v>
      </c>
      <c r="AH44" s="14">
        <v>3.0</v>
      </c>
      <c r="AI44" s="14">
        <v>4.0</v>
      </c>
      <c r="AJ44" s="14">
        <v>3.0</v>
      </c>
      <c r="AK44" s="14">
        <v>2.0</v>
      </c>
      <c r="AL44" s="14">
        <v>2.0</v>
      </c>
      <c r="AM44" s="14">
        <v>4.0</v>
      </c>
      <c r="AN44" s="14">
        <v>2.0</v>
      </c>
      <c r="AO44" s="14">
        <v>2.0</v>
      </c>
      <c r="AP44" s="14">
        <v>2.0</v>
      </c>
      <c r="AQ44" s="14">
        <v>3.0</v>
      </c>
      <c r="AR44" s="14">
        <v>2.0</v>
      </c>
      <c r="AS44" s="14">
        <v>3.0</v>
      </c>
      <c r="AT44" s="14">
        <v>3.0</v>
      </c>
      <c r="AU44" s="14">
        <v>3.0</v>
      </c>
      <c r="AV44" s="14">
        <v>3.0</v>
      </c>
      <c r="AW44" s="14">
        <v>2.0</v>
      </c>
      <c r="AX44" s="14">
        <v>2.0</v>
      </c>
      <c r="AY44" s="14">
        <v>3.0</v>
      </c>
      <c r="AZ44" s="14">
        <v>2.0</v>
      </c>
      <c r="BA44" s="14">
        <v>3.0</v>
      </c>
      <c r="BB44" s="14">
        <v>3.0</v>
      </c>
      <c r="BC44" s="14">
        <v>2.0</v>
      </c>
      <c r="BD44" s="14">
        <v>3.0</v>
      </c>
      <c r="BE44" s="14">
        <v>4.0</v>
      </c>
      <c r="BF44" s="14">
        <v>4.0</v>
      </c>
      <c r="BG44" s="14">
        <v>3.0</v>
      </c>
      <c r="BH44" s="14">
        <v>4.0</v>
      </c>
      <c r="BI44" s="14">
        <v>2.0</v>
      </c>
      <c r="BJ44" s="14">
        <v>3.0</v>
      </c>
      <c r="BK44" s="14">
        <v>3.0</v>
      </c>
      <c r="BL44" s="14">
        <v>3.0</v>
      </c>
      <c r="BM44" s="14">
        <v>3.0</v>
      </c>
      <c r="BN44" s="14">
        <v>3.0</v>
      </c>
      <c r="BO44" s="14">
        <v>2.0</v>
      </c>
      <c r="BP44" s="14">
        <v>2.0</v>
      </c>
      <c r="BQ44" s="14">
        <v>3.0</v>
      </c>
      <c r="BR44" s="14">
        <v>3.0</v>
      </c>
      <c r="BS44" s="14">
        <v>2.0</v>
      </c>
      <c r="BT44" s="14">
        <v>3.0</v>
      </c>
      <c r="BU44" s="14">
        <v>2.0</v>
      </c>
      <c r="BV44" s="14">
        <v>3.0</v>
      </c>
      <c r="BW44" s="14">
        <v>3.0</v>
      </c>
      <c r="BX44" s="14">
        <v>3.0</v>
      </c>
      <c r="BY44" s="14">
        <v>4.0</v>
      </c>
      <c r="BZ44" s="14">
        <v>3.0</v>
      </c>
    </row>
    <row r="45" ht="22.5" customHeight="1">
      <c r="A45" s="13">
        <v>46248.40432769676</v>
      </c>
      <c r="B45" s="14" t="s">
        <v>162</v>
      </c>
      <c r="C45" s="14" t="s">
        <v>364</v>
      </c>
      <c r="D45" s="14">
        <v>2026.0</v>
      </c>
      <c r="E45" s="14" t="s">
        <v>365</v>
      </c>
      <c r="F45" s="14" t="s">
        <v>366</v>
      </c>
      <c r="G45" s="14">
        <v>5.0</v>
      </c>
      <c r="H45" s="14">
        <v>4.0</v>
      </c>
      <c r="I45" s="14">
        <v>5.0</v>
      </c>
      <c r="J45" s="14">
        <v>5.0</v>
      </c>
      <c r="K45" s="14">
        <v>3.0</v>
      </c>
      <c r="L45" s="14">
        <v>4.0</v>
      </c>
      <c r="M45" s="14">
        <v>3.0</v>
      </c>
      <c r="N45" s="14">
        <v>5.0</v>
      </c>
      <c r="O45" s="14">
        <v>5.0</v>
      </c>
      <c r="P45" s="14">
        <v>5.0</v>
      </c>
      <c r="Q45" s="14">
        <v>4.0</v>
      </c>
      <c r="R45" s="14">
        <v>3.0</v>
      </c>
      <c r="S45" s="14">
        <v>2.0</v>
      </c>
      <c r="T45" s="14">
        <v>4.0</v>
      </c>
      <c r="U45" s="14">
        <v>5.0</v>
      </c>
      <c r="V45" s="14">
        <v>3.0</v>
      </c>
      <c r="W45" s="14">
        <v>4.0</v>
      </c>
      <c r="X45" s="14">
        <v>5.0</v>
      </c>
      <c r="Y45" s="14">
        <v>4.0</v>
      </c>
      <c r="Z45" s="14">
        <v>5.0</v>
      </c>
      <c r="AA45" s="14">
        <v>4.0</v>
      </c>
      <c r="AB45" s="14">
        <v>4.0</v>
      </c>
      <c r="AC45" s="14">
        <v>4.0</v>
      </c>
      <c r="AD45" s="14">
        <v>3.0</v>
      </c>
      <c r="AE45" s="14">
        <v>3.0</v>
      </c>
      <c r="AF45" s="14">
        <v>4.0</v>
      </c>
      <c r="AG45" s="14">
        <v>4.0</v>
      </c>
      <c r="AH45" s="14">
        <v>4.0</v>
      </c>
      <c r="AI45" s="14">
        <v>4.0</v>
      </c>
      <c r="AJ45" s="14">
        <v>5.0</v>
      </c>
      <c r="AK45" s="14">
        <v>5.0</v>
      </c>
      <c r="AL45" s="14">
        <v>4.0</v>
      </c>
      <c r="AM45" s="14">
        <v>4.0</v>
      </c>
      <c r="AN45" s="14">
        <v>5.0</v>
      </c>
      <c r="AO45" s="14">
        <v>5.0</v>
      </c>
      <c r="AP45" s="14">
        <v>4.0</v>
      </c>
      <c r="AQ45" s="14">
        <v>4.0</v>
      </c>
      <c r="AR45" s="14">
        <v>4.0</v>
      </c>
      <c r="AS45" s="14">
        <v>5.0</v>
      </c>
      <c r="AT45" s="14">
        <v>5.0</v>
      </c>
      <c r="AU45" s="14">
        <v>5.0</v>
      </c>
      <c r="AV45" s="14">
        <v>4.0</v>
      </c>
      <c r="AW45" s="14">
        <v>4.0</v>
      </c>
      <c r="AX45" s="14">
        <v>4.0</v>
      </c>
      <c r="AY45" s="14">
        <v>2.0</v>
      </c>
      <c r="AZ45" s="14">
        <v>5.0</v>
      </c>
      <c r="BA45" s="14">
        <v>4.0</v>
      </c>
      <c r="BB45" s="14">
        <v>3.0</v>
      </c>
      <c r="BC45" s="14">
        <v>4.0</v>
      </c>
      <c r="BD45" s="14">
        <v>5.0</v>
      </c>
      <c r="BE45" s="14">
        <v>4.0</v>
      </c>
      <c r="BF45" s="14">
        <v>3.0</v>
      </c>
      <c r="BG45" s="14">
        <v>4.0</v>
      </c>
      <c r="BH45" s="14">
        <v>4.0</v>
      </c>
      <c r="BI45" s="14">
        <v>4.0</v>
      </c>
      <c r="BJ45" s="14">
        <v>4.0</v>
      </c>
      <c r="BK45" s="14">
        <v>5.0</v>
      </c>
      <c r="BL45" s="14">
        <v>4.0</v>
      </c>
      <c r="BM45" s="14">
        <v>5.0</v>
      </c>
      <c r="BN45" s="14">
        <v>4.0</v>
      </c>
      <c r="BO45" s="14">
        <v>4.0</v>
      </c>
      <c r="BP45" s="14">
        <v>4.0</v>
      </c>
      <c r="BQ45" s="14">
        <v>5.0</v>
      </c>
      <c r="BR45" s="14">
        <v>5.0</v>
      </c>
      <c r="BS45" s="14">
        <v>5.0</v>
      </c>
      <c r="BT45" s="14">
        <v>5.0</v>
      </c>
      <c r="BU45" s="14">
        <v>4.0</v>
      </c>
      <c r="BV45" s="14">
        <v>4.0</v>
      </c>
      <c r="BW45" s="14">
        <v>4.0</v>
      </c>
      <c r="BX45" s="14">
        <v>5.0</v>
      </c>
      <c r="BY45" s="14">
        <v>4.0</v>
      </c>
      <c r="BZ45" s="14">
        <v>5.0</v>
      </c>
    </row>
    <row r="46" ht="22.5" customHeight="1">
      <c r="A46" s="13">
        <v>46248.40433435186</v>
      </c>
      <c r="B46" s="14" t="s">
        <v>162</v>
      </c>
      <c r="C46" s="14" t="s">
        <v>369</v>
      </c>
      <c r="D46" s="14">
        <v>2026.0</v>
      </c>
      <c r="E46" s="14" t="s">
        <v>189</v>
      </c>
      <c r="F46" s="14" t="s">
        <v>370</v>
      </c>
      <c r="G46" s="14">
        <v>3.0</v>
      </c>
      <c r="H46" s="14">
        <v>2.0</v>
      </c>
      <c r="I46" s="14">
        <v>4.0</v>
      </c>
      <c r="J46" s="14">
        <v>5.0</v>
      </c>
      <c r="K46" s="14">
        <v>4.0</v>
      </c>
      <c r="L46" s="14">
        <v>3.0</v>
      </c>
      <c r="M46" s="14">
        <v>2.0</v>
      </c>
      <c r="N46" s="14">
        <v>3.0</v>
      </c>
      <c r="O46" s="14">
        <v>5.0</v>
      </c>
      <c r="P46" s="14">
        <v>5.0</v>
      </c>
      <c r="Q46" s="14">
        <v>4.0</v>
      </c>
      <c r="R46" s="14">
        <v>5.0</v>
      </c>
      <c r="S46" s="14">
        <v>3.0</v>
      </c>
      <c r="T46" s="14">
        <v>4.0</v>
      </c>
      <c r="U46" s="14">
        <v>2.0</v>
      </c>
      <c r="V46" s="14">
        <v>4.0</v>
      </c>
      <c r="W46" s="14">
        <v>4.0</v>
      </c>
      <c r="X46" s="14">
        <v>2.0</v>
      </c>
      <c r="Y46" s="14">
        <v>1.0</v>
      </c>
      <c r="Z46" s="14">
        <v>2.0</v>
      </c>
      <c r="AA46" s="14">
        <v>5.0</v>
      </c>
      <c r="AB46" s="14">
        <v>5.0</v>
      </c>
      <c r="AC46" s="14">
        <v>5.0</v>
      </c>
      <c r="AD46" s="14">
        <v>3.0</v>
      </c>
      <c r="AE46" s="14">
        <v>1.0</v>
      </c>
      <c r="AF46" s="14">
        <v>4.0</v>
      </c>
      <c r="AG46" s="14">
        <v>4.0</v>
      </c>
      <c r="AH46" s="14">
        <v>5.0</v>
      </c>
      <c r="AI46" s="14">
        <v>4.0</v>
      </c>
      <c r="AJ46" s="14">
        <v>2.0</v>
      </c>
      <c r="AK46" s="14">
        <v>2.0</v>
      </c>
      <c r="AL46" s="14">
        <v>4.0</v>
      </c>
      <c r="AM46" s="14">
        <v>2.0</v>
      </c>
      <c r="AN46" s="14">
        <v>5.0</v>
      </c>
      <c r="AO46" s="14">
        <v>4.0</v>
      </c>
      <c r="AP46" s="14">
        <v>1.0</v>
      </c>
      <c r="AQ46" s="14">
        <v>2.0</v>
      </c>
      <c r="AR46" s="14">
        <v>2.0</v>
      </c>
      <c r="AS46" s="14">
        <v>5.0</v>
      </c>
      <c r="AT46" s="14">
        <v>5.0</v>
      </c>
      <c r="AU46" s="14">
        <v>5.0</v>
      </c>
      <c r="AV46" s="14">
        <v>4.0</v>
      </c>
      <c r="AW46" s="14">
        <v>1.0</v>
      </c>
      <c r="AX46" s="14">
        <v>3.0</v>
      </c>
      <c r="AY46" s="14">
        <v>5.0</v>
      </c>
      <c r="AZ46" s="14">
        <v>4.0</v>
      </c>
      <c r="BA46" s="14">
        <v>5.0</v>
      </c>
      <c r="BB46" s="14">
        <v>4.0</v>
      </c>
      <c r="BC46" s="14">
        <v>3.0</v>
      </c>
      <c r="BD46" s="14">
        <v>4.0</v>
      </c>
      <c r="BE46" s="14">
        <v>3.0</v>
      </c>
      <c r="BF46" s="14">
        <v>5.0</v>
      </c>
      <c r="BG46" s="14">
        <v>5.0</v>
      </c>
      <c r="BH46" s="14">
        <v>4.0</v>
      </c>
      <c r="BI46" s="14">
        <v>4.0</v>
      </c>
      <c r="BJ46" s="14">
        <v>5.0</v>
      </c>
      <c r="BK46" s="14">
        <v>5.0</v>
      </c>
      <c r="BL46" s="14">
        <v>4.0</v>
      </c>
      <c r="BM46" s="14">
        <v>5.0</v>
      </c>
      <c r="BN46" s="14">
        <v>3.0</v>
      </c>
      <c r="BO46" s="14">
        <v>3.0</v>
      </c>
      <c r="BP46" s="14">
        <v>2.0</v>
      </c>
      <c r="BQ46" s="14">
        <v>5.0</v>
      </c>
      <c r="BR46" s="14">
        <v>5.0</v>
      </c>
      <c r="BS46" s="14">
        <v>4.0</v>
      </c>
      <c r="BT46" s="14">
        <v>4.0</v>
      </c>
      <c r="BU46" s="14">
        <v>2.0</v>
      </c>
      <c r="BV46" s="14">
        <v>4.0</v>
      </c>
      <c r="BW46" s="14">
        <v>4.0</v>
      </c>
      <c r="BX46" s="14">
        <v>4.0</v>
      </c>
      <c r="BY46" s="14">
        <v>4.0</v>
      </c>
      <c r="BZ46" s="14">
        <v>4.0</v>
      </c>
    </row>
    <row r="47" ht="22.5" customHeight="1">
      <c r="A47" s="13">
        <v>46248.40442896991</v>
      </c>
      <c r="B47" s="14" t="s">
        <v>162</v>
      </c>
      <c r="C47" s="14" t="s">
        <v>373</v>
      </c>
      <c r="D47" s="14">
        <v>2026.0</v>
      </c>
      <c r="E47" s="14" t="s">
        <v>374</v>
      </c>
      <c r="F47" s="14" t="s">
        <v>375</v>
      </c>
      <c r="G47" s="14">
        <v>1.0</v>
      </c>
      <c r="H47" s="14">
        <v>1.0</v>
      </c>
      <c r="I47" s="14">
        <v>4.0</v>
      </c>
      <c r="J47" s="14">
        <v>4.0</v>
      </c>
      <c r="K47" s="14">
        <v>4.0</v>
      </c>
      <c r="L47" s="14">
        <v>4.0</v>
      </c>
      <c r="M47" s="14">
        <v>2.0</v>
      </c>
      <c r="N47" s="14">
        <v>2.0</v>
      </c>
      <c r="O47" s="14">
        <v>4.0</v>
      </c>
      <c r="P47" s="14">
        <v>4.0</v>
      </c>
      <c r="Q47" s="14">
        <v>5.0</v>
      </c>
      <c r="R47" s="14">
        <v>5.0</v>
      </c>
      <c r="S47" s="14">
        <v>3.0</v>
      </c>
      <c r="T47" s="14">
        <v>3.0</v>
      </c>
      <c r="U47" s="14">
        <v>2.0</v>
      </c>
      <c r="V47" s="14">
        <v>5.0</v>
      </c>
      <c r="W47" s="14">
        <v>4.0</v>
      </c>
      <c r="X47" s="14">
        <v>2.0</v>
      </c>
      <c r="Y47" s="14">
        <v>2.0</v>
      </c>
      <c r="Z47" s="14">
        <v>2.0</v>
      </c>
      <c r="AA47" s="14">
        <v>5.0</v>
      </c>
      <c r="AB47" s="14">
        <v>5.0</v>
      </c>
      <c r="AC47" s="14">
        <v>5.0</v>
      </c>
      <c r="AD47" s="14">
        <v>2.0</v>
      </c>
      <c r="AE47" s="14">
        <v>2.0</v>
      </c>
      <c r="AF47" s="14">
        <v>3.0</v>
      </c>
      <c r="AG47" s="14">
        <v>5.0</v>
      </c>
      <c r="AH47" s="14">
        <v>5.0</v>
      </c>
      <c r="AI47" s="14">
        <v>5.0</v>
      </c>
      <c r="AJ47" s="14">
        <v>5.0</v>
      </c>
      <c r="AK47" s="14">
        <v>5.0</v>
      </c>
      <c r="AL47" s="14">
        <v>3.0</v>
      </c>
      <c r="AM47" s="14">
        <v>5.0</v>
      </c>
      <c r="AN47" s="14">
        <v>5.0</v>
      </c>
      <c r="AO47" s="14">
        <v>5.0</v>
      </c>
      <c r="AP47" s="14">
        <v>2.0</v>
      </c>
      <c r="AQ47" s="14">
        <v>5.0</v>
      </c>
      <c r="AR47" s="14">
        <v>4.0</v>
      </c>
      <c r="AS47" s="14">
        <v>5.0</v>
      </c>
      <c r="AT47" s="14">
        <v>5.0</v>
      </c>
      <c r="AU47" s="14">
        <v>5.0</v>
      </c>
      <c r="AV47" s="14">
        <v>5.0</v>
      </c>
      <c r="AW47" s="14">
        <v>2.0</v>
      </c>
      <c r="AX47" s="14">
        <v>3.0</v>
      </c>
      <c r="AY47" s="14">
        <v>4.0</v>
      </c>
      <c r="AZ47" s="14">
        <v>4.0</v>
      </c>
      <c r="BA47" s="14">
        <v>5.0</v>
      </c>
      <c r="BB47" s="14">
        <v>5.0</v>
      </c>
      <c r="BC47" s="14">
        <v>4.0</v>
      </c>
      <c r="BD47" s="14">
        <v>4.0</v>
      </c>
      <c r="BE47" s="14">
        <v>5.0</v>
      </c>
      <c r="BF47" s="14">
        <v>5.0</v>
      </c>
      <c r="BG47" s="14">
        <v>5.0</v>
      </c>
      <c r="BH47" s="14">
        <v>5.0</v>
      </c>
      <c r="BI47" s="14">
        <v>3.0</v>
      </c>
      <c r="BJ47" s="14">
        <v>3.0</v>
      </c>
      <c r="BK47" s="14">
        <v>4.0</v>
      </c>
      <c r="BL47" s="14">
        <v>4.0</v>
      </c>
      <c r="BM47" s="14">
        <v>5.0</v>
      </c>
      <c r="BN47" s="14">
        <v>5.0</v>
      </c>
      <c r="BO47" s="14">
        <v>3.0</v>
      </c>
      <c r="BP47" s="14">
        <v>2.0</v>
      </c>
      <c r="BQ47" s="14">
        <v>2.0</v>
      </c>
      <c r="BR47" s="14">
        <v>4.0</v>
      </c>
      <c r="BS47" s="14">
        <v>5.0</v>
      </c>
      <c r="BT47" s="14">
        <v>4.0</v>
      </c>
      <c r="BU47" s="14">
        <v>2.0</v>
      </c>
      <c r="BV47" s="14">
        <v>3.0</v>
      </c>
      <c r="BW47" s="14">
        <v>3.0</v>
      </c>
      <c r="BX47" s="14">
        <v>5.0</v>
      </c>
      <c r="BY47" s="14">
        <v>5.0</v>
      </c>
      <c r="BZ47" s="14">
        <v>3.0</v>
      </c>
    </row>
    <row r="48" ht="22.5" customHeight="1">
      <c r="A48" s="13">
        <v>46248.404487858796</v>
      </c>
      <c r="B48" s="14" t="s">
        <v>162</v>
      </c>
      <c r="C48" s="14" t="s">
        <v>378</v>
      </c>
      <c r="D48" s="14">
        <v>25.0</v>
      </c>
      <c r="E48" s="14" t="s">
        <v>379</v>
      </c>
      <c r="F48" s="14" t="s">
        <v>380</v>
      </c>
      <c r="G48" s="14">
        <v>5.0</v>
      </c>
      <c r="H48" s="14">
        <v>5.0</v>
      </c>
      <c r="I48" s="14">
        <v>5.0</v>
      </c>
      <c r="J48" s="14">
        <v>5.0</v>
      </c>
      <c r="K48" s="14">
        <v>5.0</v>
      </c>
      <c r="L48" s="14">
        <v>5.0</v>
      </c>
      <c r="M48" s="14">
        <v>5.0</v>
      </c>
      <c r="N48" s="14">
        <v>5.0</v>
      </c>
      <c r="O48" s="14">
        <v>5.0</v>
      </c>
      <c r="P48" s="14">
        <v>5.0</v>
      </c>
      <c r="Q48" s="14">
        <v>5.0</v>
      </c>
      <c r="R48" s="14">
        <v>5.0</v>
      </c>
      <c r="S48" s="14">
        <v>5.0</v>
      </c>
      <c r="T48" s="14">
        <v>5.0</v>
      </c>
      <c r="U48" s="14">
        <v>5.0</v>
      </c>
      <c r="V48" s="14">
        <v>5.0</v>
      </c>
      <c r="W48" s="14">
        <v>5.0</v>
      </c>
      <c r="X48" s="14">
        <v>5.0</v>
      </c>
      <c r="Y48" s="14">
        <v>5.0</v>
      </c>
      <c r="Z48" s="14">
        <v>5.0</v>
      </c>
      <c r="AA48" s="14">
        <v>5.0</v>
      </c>
      <c r="AB48" s="14">
        <v>5.0</v>
      </c>
      <c r="AC48" s="14">
        <v>5.0</v>
      </c>
      <c r="AD48" s="14">
        <v>5.0</v>
      </c>
      <c r="AE48" s="14">
        <v>5.0</v>
      </c>
      <c r="AF48" s="14">
        <v>5.0</v>
      </c>
      <c r="AG48" s="14">
        <v>5.0</v>
      </c>
      <c r="AH48" s="14">
        <v>5.0</v>
      </c>
      <c r="AI48" s="14">
        <v>5.0</v>
      </c>
      <c r="AJ48" s="14">
        <v>4.0</v>
      </c>
      <c r="AK48" s="14">
        <v>5.0</v>
      </c>
      <c r="AL48" s="14">
        <v>5.0</v>
      </c>
      <c r="AM48" s="14">
        <v>5.0</v>
      </c>
      <c r="AN48" s="14">
        <v>5.0</v>
      </c>
      <c r="AO48" s="14">
        <v>5.0</v>
      </c>
      <c r="AP48" s="14">
        <v>5.0</v>
      </c>
      <c r="AQ48" s="14">
        <v>3.0</v>
      </c>
      <c r="AR48" s="14">
        <v>5.0</v>
      </c>
      <c r="AS48" s="14">
        <v>5.0</v>
      </c>
      <c r="AT48" s="14">
        <v>5.0</v>
      </c>
      <c r="AU48" s="14">
        <v>5.0</v>
      </c>
      <c r="AV48" s="14">
        <v>5.0</v>
      </c>
      <c r="AW48" s="14">
        <v>5.0</v>
      </c>
      <c r="AX48" s="14">
        <v>5.0</v>
      </c>
      <c r="AY48" s="14">
        <v>5.0</v>
      </c>
      <c r="AZ48" s="14">
        <v>5.0</v>
      </c>
      <c r="BA48" s="14">
        <v>5.0</v>
      </c>
      <c r="BB48" s="14">
        <v>5.0</v>
      </c>
      <c r="BC48" s="14">
        <v>5.0</v>
      </c>
      <c r="BD48" s="14">
        <v>5.0</v>
      </c>
      <c r="BE48" s="14">
        <v>5.0</v>
      </c>
      <c r="BF48" s="14">
        <v>5.0</v>
      </c>
      <c r="BG48" s="14">
        <v>5.0</v>
      </c>
      <c r="BH48" s="14">
        <v>5.0</v>
      </c>
      <c r="BI48" s="14">
        <v>5.0</v>
      </c>
      <c r="BJ48" s="14">
        <v>5.0</v>
      </c>
      <c r="BK48" s="14">
        <v>5.0</v>
      </c>
      <c r="BL48" s="14">
        <v>5.0</v>
      </c>
      <c r="BM48" s="14">
        <v>3.0</v>
      </c>
      <c r="BN48" s="14">
        <v>5.0</v>
      </c>
      <c r="BO48" s="14">
        <v>5.0</v>
      </c>
      <c r="BP48" s="14">
        <v>5.0</v>
      </c>
      <c r="BQ48" s="14">
        <v>5.0</v>
      </c>
      <c r="BR48" s="14">
        <v>5.0</v>
      </c>
      <c r="BS48" s="14">
        <v>5.0</v>
      </c>
      <c r="BT48" s="14">
        <v>5.0</v>
      </c>
      <c r="BU48" s="14">
        <v>5.0</v>
      </c>
      <c r="BV48" s="14">
        <v>5.0</v>
      </c>
      <c r="BW48" s="14">
        <v>5.0</v>
      </c>
      <c r="BX48" s="14">
        <v>5.0</v>
      </c>
      <c r="BY48" s="14">
        <v>5.0</v>
      </c>
      <c r="BZ48" s="14">
        <v>5.0</v>
      </c>
    </row>
    <row r="49" ht="22.5" customHeight="1">
      <c r="A49" s="13">
        <v>46248.404489699074</v>
      </c>
      <c r="B49" s="14" t="s">
        <v>162</v>
      </c>
      <c r="C49" s="14" t="s">
        <v>383</v>
      </c>
      <c r="D49" s="14">
        <v>2025.0</v>
      </c>
      <c r="E49" s="14" t="s">
        <v>365</v>
      </c>
      <c r="F49" s="14" t="s">
        <v>384</v>
      </c>
      <c r="G49" s="14">
        <v>3.0</v>
      </c>
      <c r="H49" s="14">
        <v>2.0</v>
      </c>
      <c r="I49" s="14">
        <v>2.0</v>
      </c>
      <c r="J49" s="14">
        <v>4.0</v>
      </c>
      <c r="K49" s="14">
        <v>4.0</v>
      </c>
      <c r="L49" s="14">
        <v>1.0</v>
      </c>
      <c r="M49" s="14">
        <v>1.0</v>
      </c>
      <c r="N49" s="14">
        <v>2.0</v>
      </c>
      <c r="O49" s="14">
        <v>4.0</v>
      </c>
      <c r="P49" s="14">
        <v>2.0</v>
      </c>
      <c r="Q49" s="14">
        <v>2.0</v>
      </c>
      <c r="R49" s="14">
        <v>3.0</v>
      </c>
      <c r="S49" s="14">
        <v>3.0</v>
      </c>
      <c r="T49" s="14">
        <v>2.0</v>
      </c>
      <c r="U49" s="14">
        <v>2.0</v>
      </c>
      <c r="V49" s="14">
        <v>4.0</v>
      </c>
      <c r="W49" s="14">
        <v>2.0</v>
      </c>
      <c r="X49" s="14">
        <v>2.0</v>
      </c>
      <c r="Y49" s="14">
        <v>1.0</v>
      </c>
      <c r="Z49" s="14">
        <v>1.0</v>
      </c>
      <c r="AA49" s="14">
        <v>1.0</v>
      </c>
      <c r="AB49" s="14">
        <v>4.0</v>
      </c>
      <c r="AC49" s="14">
        <v>4.0</v>
      </c>
      <c r="AD49" s="14">
        <v>1.0</v>
      </c>
      <c r="AE49" s="14">
        <v>1.0</v>
      </c>
      <c r="AF49" s="14">
        <v>1.0</v>
      </c>
      <c r="AG49" s="14">
        <v>2.0</v>
      </c>
      <c r="AH49" s="14">
        <v>4.0</v>
      </c>
      <c r="AI49" s="14">
        <v>3.0</v>
      </c>
      <c r="AJ49" s="14">
        <v>2.0</v>
      </c>
      <c r="AK49" s="14">
        <v>1.0</v>
      </c>
      <c r="AL49" s="14">
        <v>2.0</v>
      </c>
      <c r="AM49" s="14">
        <v>2.0</v>
      </c>
      <c r="AN49" s="14">
        <v>4.0</v>
      </c>
      <c r="AO49" s="14">
        <v>3.0</v>
      </c>
      <c r="AP49" s="14">
        <v>1.0</v>
      </c>
      <c r="AQ49" s="14">
        <v>3.0</v>
      </c>
      <c r="AR49" s="14">
        <v>1.0</v>
      </c>
      <c r="AS49" s="14">
        <v>2.0</v>
      </c>
      <c r="AT49" s="14">
        <v>4.0</v>
      </c>
      <c r="AU49" s="14">
        <v>2.0</v>
      </c>
      <c r="AV49" s="14">
        <v>1.0</v>
      </c>
      <c r="AW49" s="14">
        <v>1.0</v>
      </c>
      <c r="AX49" s="14">
        <v>1.0</v>
      </c>
      <c r="AY49" s="14">
        <v>4.0</v>
      </c>
      <c r="AZ49" s="14">
        <v>4.0</v>
      </c>
      <c r="BA49" s="14">
        <v>2.0</v>
      </c>
      <c r="BB49" s="14">
        <v>3.0</v>
      </c>
      <c r="BC49" s="14">
        <v>3.0</v>
      </c>
      <c r="BD49" s="14">
        <v>2.0</v>
      </c>
      <c r="BE49" s="14">
        <v>2.0</v>
      </c>
      <c r="BF49" s="14">
        <v>4.0</v>
      </c>
      <c r="BG49" s="14">
        <v>4.0</v>
      </c>
      <c r="BH49" s="14">
        <v>1.0</v>
      </c>
      <c r="BI49" s="14">
        <v>2.0</v>
      </c>
      <c r="BJ49" s="14">
        <v>3.0</v>
      </c>
      <c r="BK49" s="14">
        <v>3.0</v>
      </c>
      <c r="BL49" s="14">
        <v>2.0</v>
      </c>
      <c r="BM49" s="14">
        <v>3.0</v>
      </c>
      <c r="BN49" s="14">
        <v>1.0</v>
      </c>
      <c r="BO49" s="14">
        <v>3.0</v>
      </c>
      <c r="BP49" s="14">
        <v>2.0</v>
      </c>
      <c r="BQ49" s="14">
        <v>2.0</v>
      </c>
      <c r="BR49" s="14">
        <v>4.0</v>
      </c>
      <c r="BS49" s="14">
        <v>4.0</v>
      </c>
      <c r="BT49" s="14">
        <v>4.0</v>
      </c>
      <c r="BU49" s="14">
        <v>2.0</v>
      </c>
      <c r="BV49" s="14">
        <v>2.0</v>
      </c>
      <c r="BW49" s="14">
        <v>3.0</v>
      </c>
      <c r="BX49" s="14">
        <v>3.0</v>
      </c>
      <c r="BY49" s="14">
        <v>2.0</v>
      </c>
      <c r="BZ49" s="14">
        <v>3.0</v>
      </c>
    </row>
    <row r="50" ht="22.5" customHeight="1">
      <c r="A50" s="13">
        <v>46248.40448990741</v>
      </c>
      <c r="B50" s="14" t="s">
        <v>162</v>
      </c>
      <c r="C50" s="14" t="s">
        <v>387</v>
      </c>
      <c r="D50" s="14">
        <v>2022.0</v>
      </c>
      <c r="E50" s="14" t="s">
        <v>277</v>
      </c>
      <c r="F50" s="14" t="s">
        <v>388</v>
      </c>
      <c r="G50" s="14">
        <v>3.0</v>
      </c>
      <c r="H50" s="14">
        <v>4.0</v>
      </c>
      <c r="I50" s="14">
        <v>2.0</v>
      </c>
      <c r="J50" s="14">
        <v>5.0</v>
      </c>
      <c r="K50" s="14">
        <v>4.0</v>
      </c>
      <c r="L50" s="14">
        <v>4.0</v>
      </c>
      <c r="M50" s="14">
        <v>4.0</v>
      </c>
      <c r="N50" s="14">
        <v>3.0</v>
      </c>
      <c r="O50" s="14">
        <v>4.0</v>
      </c>
      <c r="P50" s="14">
        <v>4.0</v>
      </c>
      <c r="Q50" s="14">
        <v>4.0</v>
      </c>
      <c r="R50" s="14">
        <v>5.0</v>
      </c>
      <c r="S50" s="14">
        <v>5.0</v>
      </c>
      <c r="T50" s="14">
        <v>4.0</v>
      </c>
      <c r="U50" s="14">
        <v>2.0</v>
      </c>
      <c r="V50" s="14">
        <v>4.0</v>
      </c>
      <c r="W50" s="14">
        <v>4.0</v>
      </c>
      <c r="X50" s="14">
        <v>2.0</v>
      </c>
      <c r="Y50" s="14">
        <v>3.0</v>
      </c>
      <c r="Z50" s="14">
        <v>5.0</v>
      </c>
      <c r="AA50" s="14">
        <v>2.0</v>
      </c>
      <c r="AB50" s="14">
        <v>4.0</v>
      </c>
      <c r="AC50" s="14">
        <v>4.0</v>
      </c>
      <c r="AD50" s="14">
        <v>2.0</v>
      </c>
      <c r="AE50" s="14">
        <v>2.0</v>
      </c>
      <c r="AF50" s="14">
        <v>4.0</v>
      </c>
      <c r="AG50" s="14">
        <v>4.0</v>
      </c>
      <c r="AH50" s="14">
        <v>5.0</v>
      </c>
      <c r="AI50" s="14">
        <v>4.0</v>
      </c>
      <c r="AJ50" s="14">
        <v>5.0</v>
      </c>
      <c r="AK50" s="14">
        <v>5.0</v>
      </c>
      <c r="AL50" s="14">
        <v>4.0</v>
      </c>
      <c r="AM50" s="14">
        <v>2.0</v>
      </c>
      <c r="AN50" s="14">
        <v>5.0</v>
      </c>
      <c r="AO50" s="14">
        <v>4.0</v>
      </c>
      <c r="AP50" s="14">
        <v>2.0</v>
      </c>
      <c r="AQ50" s="14">
        <v>5.0</v>
      </c>
      <c r="AR50" s="14">
        <v>5.0</v>
      </c>
      <c r="AS50" s="14">
        <v>4.0</v>
      </c>
      <c r="AT50" s="14">
        <v>5.0</v>
      </c>
      <c r="AU50" s="14">
        <v>4.0</v>
      </c>
      <c r="AV50" s="14">
        <v>4.0</v>
      </c>
      <c r="AW50" s="14">
        <v>3.0</v>
      </c>
      <c r="AX50" s="14">
        <v>4.0</v>
      </c>
      <c r="AY50" s="14">
        <v>2.0</v>
      </c>
      <c r="AZ50" s="14">
        <v>5.0</v>
      </c>
      <c r="BA50" s="14">
        <v>5.0</v>
      </c>
      <c r="BB50" s="14">
        <v>4.0</v>
      </c>
      <c r="BC50" s="14">
        <v>4.0</v>
      </c>
      <c r="BD50" s="14">
        <v>4.0</v>
      </c>
      <c r="BE50" s="14">
        <v>2.0</v>
      </c>
      <c r="BF50" s="14">
        <v>5.0</v>
      </c>
      <c r="BG50" s="14">
        <v>4.0</v>
      </c>
      <c r="BH50" s="14">
        <v>4.0</v>
      </c>
      <c r="BI50" s="14">
        <v>4.0</v>
      </c>
      <c r="BJ50" s="14">
        <v>3.0</v>
      </c>
      <c r="BK50" s="14">
        <v>3.0</v>
      </c>
      <c r="BL50" s="14">
        <v>5.0</v>
      </c>
      <c r="BM50" s="14">
        <v>5.0</v>
      </c>
      <c r="BN50" s="14">
        <v>4.0</v>
      </c>
      <c r="BO50" s="14">
        <v>4.0</v>
      </c>
      <c r="BP50" s="14">
        <v>4.0</v>
      </c>
      <c r="BQ50" s="14">
        <v>4.0</v>
      </c>
      <c r="BR50" s="14">
        <v>5.0</v>
      </c>
      <c r="BS50" s="14">
        <v>5.0</v>
      </c>
      <c r="BT50" s="14">
        <v>4.0</v>
      </c>
      <c r="BU50" s="14">
        <v>4.0</v>
      </c>
      <c r="BV50" s="14">
        <v>4.0</v>
      </c>
      <c r="BW50" s="14">
        <v>4.0</v>
      </c>
      <c r="BX50" s="14">
        <v>4.0</v>
      </c>
      <c r="BY50" s="14">
        <v>4.0</v>
      </c>
      <c r="BZ50" s="14">
        <v>4.0</v>
      </c>
    </row>
    <row r="51" ht="22.5" customHeight="1">
      <c r="A51" s="13">
        <v>46248.40460920139</v>
      </c>
      <c r="B51" s="14" t="s">
        <v>162</v>
      </c>
      <c r="C51" s="14" t="s">
        <v>391</v>
      </c>
      <c r="D51" s="14">
        <v>2024.0</v>
      </c>
      <c r="E51" s="14" t="s">
        <v>392</v>
      </c>
      <c r="F51" s="14" t="s">
        <v>393</v>
      </c>
      <c r="G51" s="14">
        <v>4.0</v>
      </c>
      <c r="H51" s="14">
        <v>4.0</v>
      </c>
      <c r="I51" s="14">
        <v>1.0</v>
      </c>
      <c r="J51" s="14">
        <v>5.0</v>
      </c>
      <c r="K51" s="14">
        <v>5.0</v>
      </c>
      <c r="L51" s="14">
        <v>3.0</v>
      </c>
      <c r="M51" s="14">
        <v>3.0</v>
      </c>
      <c r="N51" s="14">
        <v>2.0</v>
      </c>
      <c r="O51" s="14">
        <v>3.0</v>
      </c>
      <c r="P51" s="14">
        <v>3.0</v>
      </c>
      <c r="Q51" s="14">
        <v>3.0</v>
      </c>
      <c r="R51" s="14">
        <v>5.0</v>
      </c>
      <c r="S51" s="14">
        <v>5.0</v>
      </c>
      <c r="T51" s="14">
        <v>2.0</v>
      </c>
      <c r="U51" s="14">
        <v>1.0</v>
      </c>
      <c r="V51" s="14">
        <v>3.0</v>
      </c>
      <c r="W51" s="14">
        <v>5.0</v>
      </c>
      <c r="X51" s="14">
        <v>3.0</v>
      </c>
      <c r="Y51" s="14">
        <v>3.0</v>
      </c>
      <c r="Z51" s="14">
        <v>2.0</v>
      </c>
      <c r="AA51" s="14">
        <v>3.0</v>
      </c>
      <c r="AB51" s="14">
        <v>3.0</v>
      </c>
      <c r="AC51" s="14">
        <v>4.0</v>
      </c>
      <c r="AD51" s="14">
        <v>3.0</v>
      </c>
      <c r="AE51" s="14">
        <v>2.0</v>
      </c>
      <c r="AF51" s="14">
        <v>3.0</v>
      </c>
      <c r="AG51" s="14">
        <v>3.0</v>
      </c>
      <c r="AH51" s="14">
        <v>5.0</v>
      </c>
      <c r="AI51" s="14">
        <v>5.0</v>
      </c>
      <c r="AJ51" s="14">
        <v>5.0</v>
      </c>
      <c r="AK51" s="14">
        <v>3.0</v>
      </c>
      <c r="AL51" s="14">
        <v>3.0</v>
      </c>
      <c r="AM51" s="14">
        <v>2.0</v>
      </c>
      <c r="AN51" s="14">
        <v>5.0</v>
      </c>
      <c r="AO51" s="14">
        <v>5.0</v>
      </c>
      <c r="AP51" s="14">
        <v>2.0</v>
      </c>
      <c r="AQ51" s="14">
        <v>5.0</v>
      </c>
      <c r="AR51" s="14">
        <v>3.0</v>
      </c>
      <c r="AS51" s="14">
        <v>3.0</v>
      </c>
      <c r="AT51" s="14">
        <v>3.0</v>
      </c>
      <c r="AU51" s="14">
        <v>4.0</v>
      </c>
      <c r="AV51" s="14">
        <v>5.0</v>
      </c>
      <c r="AW51" s="14">
        <v>3.0</v>
      </c>
      <c r="AX51" s="14">
        <v>3.0</v>
      </c>
      <c r="AY51" s="14">
        <v>3.0</v>
      </c>
      <c r="AZ51" s="14">
        <v>5.0</v>
      </c>
      <c r="BA51" s="14">
        <v>3.0</v>
      </c>
      <c r="BB51" s="14">
        <v>4.0</v>
      </c>
      <c r="BC51" s="14">
        <v>5.0</v>
      </c>
      <c r="BD51" s="14">
        <v>3.0</v>
      </c>
      <c r="BE51" s="14">
        <v>2.0</v>
      </c>
      <c r="BF51" s="14">
        <v>5.0</v>
      </c>
      <c r="BG51" s="14">
        <v>5.0</v>
      </c>
      <c r="BH51" s="14">
        <v>4.0</v>
      </c>
      <c r="BI51" s="14">
        <v>5.0</v>
      </c>
      <c r="BJ51" s="14">
        <v>3.0</v>
      </c>
      <c r="BK51" s="14">
        <v>3.0</v>
      </c>
      <c r="BL51" s="14">
        <v>2.0</v>
      </c>
      <c r="BM51" s="14">
        <v>5.0</v>
      </c>
      <c r="BN51" s="14">
        <v>5.0</v>
      </c>
      <c r="BO51" s="14">
        <v>3.0</v>
      </c>
      <c r="BP51" s="14">
        <v>3.0</v>
      </c>
      <c r="BQ51" s="14">
        <v>5.0</v>
      </c>
      <c r="BR51" s="14">
        <v>5.0</v>
      </c>
      <c r="BS51" s="14">
        <v>5.0</v>
      </c>
      <c r="BT51" s="14">
        <v>5.0</v>
      </c>
      <c r="BU51" s="14">
        <v>3.0</v>
      </c>
      <c r="BV51" s="14">
        <v>3.0</v>
      </c>
      <c r="BW51" s="14">
        <v>3.0</v>
      </c>
      <c r="BX51" s="14">
        <v>3.0</v>
      </c>
      <c r="BY51" s="14">
        <v>5.0</v>
      </c>
      <c r="BZ51" s="14">
        <v>5.0</v>
      </c>
    </row>
    <row r="52" ht="22.5" customHeight="1">
      <c r="A52" s="13">
        <v>46248.404647268515</v>
      </c>
      <c r="B52" s="14" t="s">
        <v>162</v>
      </c>
      <c r="C52" s="14" t="s">
        <v>396</v>
      </c>
      <c r="D52" s="14">
        <v>2024.0</v>
      </c>
      <c r="E52" s="14" t="s">
        <v>266</v>
      </c>
      <c r="F52" s="14" t="s">
        <v>397</v>
      </c>
      <c r="G52" s="14">
        <v>4.0</v>
      </c>
      <c r="H52" s="14">
        <v>4.0</v>
      </c>
      <c r="I52" s="14">
        <v>1.0</v>
      </c>
      <c r="J52" s="14">
        <v>4.0</v>
      </c>
      <c r="K52" s="14">
        <v>4.0</v>
      </c>
      <c r="L52" s="14">
        <v>5.0</v>
      </c>
      <c r="M52" s="14">
        <v>4.0</v>
      </c>
      <c r="N52" s="14">
        <v>2.0</v>
      </c>
      <c r="O52" s="14">
        <v>4.0</v>
      </c>
      <c r="P52" s="14">
        <v>4.0</v>
      </c>
      <c r="Q52" s="14">
        <v>2.0</v>
      </c>
      <c r="R52" s="14">
        <v>3.0</v>
      </c>
      <c r="S52" s="14">
        <v>4.0</v>
      </c>
      <c r="T52" s="14">
        <v>3.0</v>
      </c>
      <c r="U52" s="14">
        <v>1.0</v>
      </c>
      <c r="V52" s="14">
        <v>3.0</v>
      </c>
      <c r="W52" s="14">
        <v>3.0</v>
      </c>
      <c r="X52" s="14">
        <v>3.0</v>
      </c>
      <c r="Y52" s="14">
        <v>4.0</v>
      </c>
      <c r="Z52" s="14">
        <v>3.0</v>
      </c>
      <c r="AA52" s="14">
        <v>2.0</v>
      </c>
      <c r="AB52" s="14">
        <v>3.0</v>
      </c>
      <c r="AC52" s="14">
        <v>2.0</v>
      </c>
      <c r="AD52" s="14">
        <v>4.0</v>
      </c>
      <c r="AE52" s="14">
        <v>4.0</v>
      </c>
      <c r="AF52" s="14">
        <v>3.0</v>
      </c>
      <c r="AG52" s="14">
        <v>3.0</v>
      </c>
      <c r="AH52" s="14">
        <v>4.0</v>
      </c>
      <c r="AI52" s="14">
        <v>3.0</v>
      </c>
      <c r="AJ52" s="14">
        <v>4.0</v>
      </c>
      <c r="AK52" s="14">
        <v>4.0</v>
      </c>
      <c r="AL52" s="14">
        <v>4.0</v>
      </c>
      <c r="AM52" s="14">
        <v>1.0</v>
      </c>
      <c r="AN52" s="14">
        <v>3.0</v>
      </c>
      <c r="AO52" s="14">
        <v>4.0</v>
      </c>
      <c r="AP52" s="14">
        <v>4.0</v>
      </c>
      <c r="AQ52" s="14">
        <v>4.0</v>
      </c>
      <c r="AR52" s="14">
        <v>3.0</v>
      </c>
      <c r="AS52" s="14">
        <v>4.0</v>
      </c>
      <c r="AT52" s="14">
        <v>4.0</v>
      </c>
      <c r="AU52" s="14">
        <v>4.0</v>
      </c>
      <c r="AV52" s="14">
        <v>4.0</v>
      </c>
      <c r="AW52" s="14">
        <v>4.0</v>
      </c>
      <c r="AX52" s="14">
        <v>4.0</v>
      </c>
      <c r="AY52" s="14">
        <v>4.0</v>
      </c>
      <c r="AZ52" s="14">
        <v>4.0</v>
      </c>
      <c r="BA52" s="14">
        <v>4.0</v>
      </c>
      <c r="BB52" s="14">
        <v>5.0</v>
      </c>
      <c r="BC52" s="14">
        <v>3.0</v>
      </c>
      <c r="BD52" s="14">
        <v>3.0</v>
      </c>
      <c r="BE52" s="14">
        <v>1.0</v>
      </c>
      <c r="BF52" s="14">
        <v>4.0</v>
      </c>
      <c r="BG52" s="14">
        <v>4.0</v>
      </c>
      <c r="BH52" s="14">
        <v>4.0</v>
      </c>
      <c r="BI52" s="14">
        <v>4.0</v>
      </c>
      <c r="BJ52" s="14">
        <v>4.0</v>
      </c>
      <c r="BK52" s="14">
        <v>4.0</v>
      </c>
      <c r="BL52" s="14">
        <v>4.0</v>
      </c>
      <c r="BM52" s="14">
        <v>5.0</v>
      </c>
      <c r="BN52" s="14">
        <v>4.0</v>
      </c>
      <c r="BO52" s="14">
        <v>4.0</v>
      </c>
      <c r="BP52" s="14">
        <v>4.0</v>
      </c>
      <c r="BQ52" s="14">
        <v>4.0</v>
      </c>
      <c r="BR52" s="14">
        <v>4.0</v>
      </c>
      <c r="BS52" s="14">
        <v>4.0</v>
      </c>
      <c r="BT52" s="14">
        <v>4.0</v>
      </c>
      <c r="BU52" s="14">
        <v>3.0</v>
      </c>
      <c r="BV52" s="14">
        <v>4.0</v>
      </c>
      <c r="BW52" s="14">
        <v>4.0</v>
      </c>
      <c r="BX52" s="14">
        <v>4.0</v>
      </c>
      <c r="BY52" s="14">
        <v>4.0</v>
      </c>
      <c r="BZ52" s="14">
        <v>4.0</v>
      </c>
    </row>
    <row r="53" ht="22.5" customHeight="1">
      <c r="A53" s="13">
        <v>46248.40477922454</v>
      </c>
      <c r="B53" s="14" t="s">
        <v>162</v>
      </c>
      <c r="C53" s="14" t="s">
        <v>400</v>
      </c>
      <c r="D53" s="14">
        <v>2024.0</v>
      </c>
      <c r="E53" s="14" t="s">
        <v>356</v>
      </c>
      <c r="F53" s="14" t="s">
        <v>401</v>
      </c>
      <c r="G53" s="14">
        <v>3.0</v>
      </c>
      <c r="H53" s="14">
        <v>2.0</v>
      </c>
      <c r="I53" s="14">
        <v>2.0</v>
      </c>
      <c r="J53" s="14">
        <v>4.0</v>
      </c>
      <c r="K53" s="14">
        <v>4.0</v>
      </c>
      <c r="L53" s="14">
        <v>3.0</v>
      </c>
      <c r="M53" s="14">
        <v>2.0</v>
      </c>
      <c r="N53" s="14">
        <v>3.0</v>
      </c>
      <c r="O53" s="14">
        <v>3.0</v>
      </c>
      <c r="P53" s="14">
        <v>3.0</v>
      </c>
      <c r="Q53" s="14">
        <v>3.0</v>
      </c>
      <c r="R53" s="14">
        <v>4.0</v>
      </c>
      <c r="S53" s="14">
        <v>3.0</v>
      </c>
      <c r="T53" s="14">
        <v>3.0</v>
      </c>
      <c r="U53" s="14">
        <v>2.0</v>
      </c>
      <c r="V53" s="14">
        <v>5.0</v>
      </c>
      <c r="W53" s="14">
        <v>5.0</v>
      </c>
      <c r="X53" s="14">
        <v>3.0</v>
      </c>
      <c r="Y53" s="14">
        <v>5.0</v>
      </c>
      <c r="Z53" s="14">
        <v>3.0</v>
      </c>
      <c r="AA53" s="14">
        <v>4.0</v>
      </c>
      <c r="AB53" s="14">
        <v>5.0</v>
      </c>
      <c r="AC53" s="14">
        <v>5.0</v>
      </c>
      <c r="AD53" s="14">
        <v>4.0</v>
      </c>
      <c r="AE53" s="14">
        <v>2.0</v>
      </c>
      <c r="AF53" s="14">
        <v>3.0</v>
      </c>
      <c r="AG53" s="14">
        <v>3.0</v>
      </c>
      <c r="AH53" s="14">
        <v>5.0</v>
      </c>
      <c r="AI53" s="14">
        <v>4.0</v>
      </c>
      <c r="AJ53" s="14">
        <v>5.0</v>
      </c>
      <c r="AK53" s="14">
        <v>3.0</v>
      </c>
      <c r="AL53" s="14">
        <v>3.0</v>
      </c>
      <c r="AM53" s="14">
        <v>2.0</v>
      </c>
      <c r="AN53" s="14">
        <v>3.0</v>
      </c>
      <c r="AO53" s="14">
        <v>2.0</v>
      </c>
      <c r="AP53" s="14">
        <v>3.0</v>
      </c>
      <c r="AQ53" s="14">
        <v>3.0</v>
      </c>
      <c r="AR53" s="14">
        <v>2.0</v>
      </c>
      <c r="AS53" s="14">
        <v>2.0</v>
      </c>
      <c r="AT53" s="14">
        <v>2.0</v>
      </c>
      <c r="AU53" s="14">
        <v>3.0</v>
      </c>
      <c r="AV53" s="14">
        <v>3.0</v>
      </c>
      <c r="AW53" s="14">
        <v>2.0</v>
      </c>
      <c r="AX53" s="14">
        <v>3.0</v>
      </c>
      <c r="AY53" s="14">
        <v>3.0</v>
      </c>
      <c r="AZ53" s="14">
        <v>4.0</v>
      </c>
      <c r="BA53" s="14">
        <v>3.0</v>
      </c>
      <c r="BB53" s="14">
        <v>3.0</v>
      </c>
      <c r="BC53" s="14">
        <v>3.0</v>
      </c>
      <c r="BD53" s="14">
        <v>3.0</v>
      </c>
      <c r="BE53" s="14">
        <v>2.0</v>
      </c>
      <c r="BF53" s="14">
        <v>4.0</v>
      </c>
      <c r="BG53" s="14">
        <v>4.0</v>
      </c>
      <c r="BH53" s="14">
        <v>4.0</v>
      </c>
      <c r="BI53" s="14">
        <v>4.0</v>
      </c>
      <c r="BJ53" s="14">
        <v>3.0</v>
      </c>
      <c r="BK53" s="14">
        <v>3.0</v>
      </c>
      <c r="BL53" s="14">
        <v>2.0</v>
      </c>
      <c r="BM53" s="14">
        <v>4.0</v>
      </c>
      <c r="BN53" s="14">
        <v>4.0</v>
      </c>
      <c r="BO53" s="14">
        <v>4.0</v>
      </c>
      <c r="BP53" s="14">
        <v>3.0</v>
      </c>
      <c r="BQ53" s="14">
        <v>5.0</v>
      </c>
      <c r="BR53" s="14">
        <v>5.0</v>
      </c>
      <c r="BS53" s="14">
        <v>5.0</v>
      </c>
      <c r="BT53" s="14">
        <v>5.0</v>
      </c>
      <c r="BU53" s="14">
        <v>5.0</v>
      </c>
      <c r="BV53" s="14">
        <v>4.0</v>
      </c>
      <c r="BW53" s="14">
        <v>4.0</v>
      </c>
      <c r="BX53" s="14">
        <v>4.0</v>
      </c>
      <c r="BY53" s="14">
        <v>4.0</v>
      </c>
      <c r="BZ53" s="14">
        <v>4.0</v>
      </c>
    </row>
    <row r="54" ht="22.5" customHeight="1">
      <c r="A54" s="13">
        <v>46248.40480711806</v>
      </c>
      <c r="B54" s="14" t="s">
        <v>162</v>
      </c>
      <c r="C54" s="14" t="s">
        <v>405</v>
      </c>
      <c r="D54" s="14">
        <v>2024.0</v>
      </c>
      <c r="E54" s="14" t="s">
        <v>266</v>
      </c>
      <c r="F54" s="14" t="s">
        <v>406</v>
      </c>
      <c r="G54" s="14">
        <v>3.0</v>
      </c>
      <c r="H54" s="14">
        <v>2.0</v>
      </c>
      <c r="I54" s="14">
        <v>2.0</v>
      </c>
      <c r="J54" s="14">
        <v>5.0</v>
      </c>
      <c r="K54" s="14">
        <v>5.0</v>
      </c>
      <c r="L54" s="14">
        <v>4.0</v>
      </c>
      <c r="M54" s="14">
        <v>4.0</v>
      </c>
      <c r="N54" s="14">
        <v>4.0</v>
      </c>
      <c r="O54" s="14">
        <v>4.0</v>
      </c>
      <c r="P54" s="14">
        <v>4.0</v>
      </c>
      <c r="Q54" s="14">
        <v>4.0</v>
      </c>
      <c r="R54" s="14">
        <v>4.0</v>
      </c>
      <c r="S54" s="14">
        <v>5.0</v>
      </c>
      <c r="T54" s="14">
        <v>3.0</v>
      </c>
      <c r="U54" s="14">
        <v>2.0</v>
      </c>
      <c r="V54" s="14">
        <v>3.0</v>
      </c>
      <c r="W54" s="14">
        <v>4.0</v>
      </c>
      <c r="X54" s="14">
        <v>3.0</v>
      </c>
      <c r="Y54" s="14">
        <v>3.0</v>
      </c>
      <c r="Z54" s="14">
        <v>3.0</v>
      </c>
      <c r="AA54" s="14">
        <v>4.0</v>
      </c>
      <c r="AB54" s="14">
        <v>4.0</v>
      </c>
      <c r="AC54" s="14">
        <v>4.0</v>
      </c>
      <c r="AD54" s="14">
        <v>4.0</v>
      </c>
      <c r="AE54" s="14">
        <v>2.0</v>
      </c>
      <c r="AF54" s="14">
        <v>4.0</v>
      </c>
      <c r="AG54" s="14">
        <v>4.0</v>
      </c>
      <c r="AH54" s="14">
        <v>5.0</v>
      </c>
      <c r="AI54" s="14">
        <v>4.0</v>
      </c>
      <c r="AJ54" s="14">
        <v>4.0</v>
      </c>
      <c r="AK54" s="14">
        <v>3.0</v>
      </c>
      <c r="AL54" s="14">
        <v>4.0</v>
      </c>
      <c r="AM54" s="14">
        <v>2.0</v>
      </c>
      <c r="AN54" s="14">
        <v>4.0</v>
      </c>
      <c r="AO54" s="14">
        <v>4.0</v>
      </c>
      <c r="AP54" s="14">
        <v>3.0</v>
      </c>
      <c r="AQ54" s="14">
        <v>5.0</v>
      </c>
      <c r="AR54" s="14">
        <v>4.0</v>
      </c>
      <c r="AS54" s="14">
        <v>4.0</v>
      </c>
      <c r="AT54" s="14">
        <v>5.0</v>
      </c>
      <c r="AU54" s="14">
        <v>4.0</v>
      </c>
      <c r="AV54" s="14">
        <v>4.0</v>
      </c>
      <c r="AW54" s="14">
        <v>2.0</v>
      </c>
      <c r="AX54" s="14">
        <v>3.0</v>
      </c>
      <c r="AY54" s="14">
        <v>3.0</v>
      </c>
      <c r="AZ54" s="14">
        <v>5.0</v>
      </c>
      <c r="BA54" s="14">
        <v>5.0</v>
      </c>
      <c r="BB54" s="14">
        <v>4.0</v>
      </c>
      <c r="BC54" s="14">
        <v>5.0</v>
      </c>
      <c r="BD54" s="14">
        <v>4.0</v>
      </c>
      <c r="BE54" s="14">
        <v>2.0</v>
      </c>
      <c r="BF54" s="14">
        <v>4.0</v>
      </c>
      <c r="BG54" s="14">
        <v>4.0</v>
      </c>
      <c r="BH54" s="14">
        <v>4.0</v>
      </c>
      <c r="BI54" s="14">
        <v>4.0</v>
      </c>
      <c r="BJ54" s="14">
        <v>4.0</v>
      </c>
      <c r="BK54" s="14">
        <v>4.0</v>
      </c>
      <c r="BL54" s="14">
        <v>4.0</v>
      </c>
      <c r="BM54" s="14">
        <v>4.0</v>
      </c>
      <c r="BN54" s="14">
        <v>4.0</v>
      </c>
      <c r="BO54" s="14">
        <v>4.0</v>
      </c>
      <c r="BP54" s="14">
        <v>4.0</v>
      </c>
      <c r="BQ54" s="14">
        <v>4.0</v>
      </c>
      <c r="BR54" s="14">
        <v>5.0</v>
      </c>
      <c r="BS54" s="14">
        <v>5.0</v>
      </c>
      <c r="BT54" s="14">
        <v>5.0</v>
      </c>
      <c r="BU54" s="14">
        <v>4.0</v>
      </c>
      <c r="BV54" s="14">
        <v>4.0</v>
      </c>
      <c r="BW54" s="14">
        <v>4.0</v>
      </c>
      <c r="BX54" s="14">
        <v>4.0</v>
      </c>
      <c r="BY54" s="14">
        <v>4.0</v>
      </c>
      <c r="BZ54" s="14">
        <v>4.0</v>
      </c>
    </row>
    <row r="55" ht="22.5" customHeight="1">
      <c r="A55" s="13">
        <v>46248.40488447917</v>
      </c>
      <c r="B55" s="14" t="s">
        <v>162</v>
      </c>
      <c r="C55" s="14" t="s">
        <v>409</v>
      </c>
      <c r="D55" s="14">
        <v>2024.0</v>
      </c>
      <c r="E55" s="14" t="s">
        <v>340</v>
      </c>
      <c r="F55" s="14" t="s">
        <v>410</v>
      </c>
      <c r="G55" s="14">
        <v>3.0</v>
      </c>
      <c r="H55" s="14">
        <v>3.0</v>
      </c>
      <c r="I55" s="14">
        <v>4.0</v>
      </c>
      <c r="J55" s="14">
        <v>5.0</v>
      </c>
      <c r="K55" s="14">
        <v>5.0</v>
      </c>
      <c r="L55" s="14">
        <v>4.0</v>
      </c>
      <c r="M55" s="14">
        <v>3.0</v>
      </c>
      <c r="N55" s="14">
        <v>5.0</v>
      </c>
      <c r="O55" s="14">
        <v>4.0</v>
      </c>
      <c r="P55" s="14">
        <v>5.0</v>
      </c>
      <c r="Q55" s="14">
        <v>5.0</v>
      </c>
      <c r="R55" s="14">
        <v>5.0</v>
      </c>
      <c r="S55" s="14">
        <v>3.0</v>
      </c>
      <c r="T55" s="14">
        <v>4.0</v>
      </c>
      <c r="U55" s="14">
        <v>4.0</v>
      </c>
      <c r="V55" s="14">
        <v>5.0</v>
      </c>
      <c r="W55" s="14">
        <v>5.0</v>
      </c>
      <c r="X55" s="14">
        <v>3.0</v>
      </c>
      <c r="Y55" s="14">
        <v>3.0</v>
      </c>
      <c r="Z55" s="14">
        <v>5.0</v>
      </c>
      <c r="AA55" s="14">
        <v>5.0</v>
      </c>
      <c r="AB55" s="14">
        <v>5.0</v>
      </c>
      <c r="AC55" s="14">
        <v>5.0</v>
      </c>
      <c r="AD55" s="14">
        <v>5.0</v>
      </c>
      <c r="AE55" s="14">
        <v>4.0</v>
      </c>
      <c r="AF55" s="14">
        <v>5.0</v>
      </c>
      <c r="AG55" s="14">
        <v>4.0</v>
      </c>
      <c r="AH55" s="14">
        <v>5.0</v>
      </c>
      <c r="AI55" s="14">
        <v>5.0</v>
      </c>
      <c r="AJ55" s="14">
        <v>5.0</v>
      </c>
      <c r="AK55" s="14">
        <v>4.0</v>
      </c>
      <c r="AL55" s="14">
        <v>5.0</v>
      </c>
      <c r="AM55" s="14">
        <v>4.0</v>
      </c>
      <c r="AN55" s="14">
        <v>5.0</v>
      </c>
      <c r="AO55" s="14">
        <v>5.0</v>
      </c>
      <c r="AP55" s="14">
        <v>3.0</v>
      </c>
      <c r="AQ55" s="14">
        <v>4.0</v>
      </c>
      <c r="AR55" s="14">
        <v>5.0</v>
      </c>
      <c r="AS55" s="14">
        <v>3.0</v>
      </c>
      <c r="AT55" s="14">
        <v>5.0</v>
      </c>
      <c r="AU55" s="14">
        <v>5.0</v>
      </c>
      <c r="AV55" s="14">
        <v>5.0</v>
      </c>
      <c r="AW55" s="14">
        <v>4.0</v>
      </c>
      <c r="AX55" s="14">
        <v>5.0</v>
      </c>
      <c r="AY55" s="14">
        <v>3.0</v>
      </c>
      <c r="AZ55" s="14">
        <v>4.0</v>
      </c>
      <c r="BA55" s="14">
        <v>5.0</v>
      </c>
      <c r="BB55" s="14">
        <v>5.0</v>
      </c>
      <c r="BC55" s="14">
        <v>4.0</v>
      </c>
      <c r="BD55" s="14">
        <v>5.0</v>
      </c>
      <c r="BE55" s="14">
        <v>4.0</v>
      </c>
      <c r="BF55" s="14">
        <v>5.0</v>
      </c>
      <c r="BG55" s="14">
        <v>5.0</v>
      </c>
      <c r="BH55" s="14">
        <v>5.0</v>
      </c>
      <c r="BI55" s="14">
        <v>5.0</v>
      </c>
      <c r="BJ55" s="14">
        <v>5.0</v>
      </c>
      <c r="BK55" s="14">
        <v>4.0</v>
      </c>
      <c r="BL55" s="14">
        <v>5.0</v>
      </c>
      <c r="BM55" s="14">
        <v>5.0</v>
      </c>
      <c r="BN55" s="14">
        <v>5.0</v>
      </c>
      <c r="BO55" s="14">
        <v>5.0</v>
      </c>
      <c r="BP55" s="14">
        <v>3.0</v>
      </c>
      <c r="BQ55" s="14">
        <v>5.0</v>
      </c>
      <c r="BR55" s="14">
        <v>5.0</v>
      </c>
      <c r="BS55" s="14">
        <v>5.0</v>
      </c>
      <c r="BT55" s="14">
        <v>5.0</v>
      </c>
      <c r="BU55" s="14">
        <v>4.0</v>
      </c>
      <c r="BV55" s="14">
        <v>5.0</v>
      </c>
      <c r="BW55" s="14">
        <v>5.0</v>
      </c>
      <c r="BX55" s="14">
        <v>5.0</v>
      </c>
      <c r="BY55" s="14">
        <v>5.0</v>
      </c>
      <c r="BZ55" s="14">
        <v>5.0</v>
      </c>
    </row>
    <row r="56" ht="22.5" customHeight="1">
      <c r="A56" s="13">
        <v>46248.404974895835</v>
      </c>
      <c r="B56" s="14" t="s">
        <v>162</v>
      </c>
      <c r="C56" s="14" t="s">
        <v>413</v>
      </c>
      <c r="D56" s="14">
        <v>2022.0</v>
      </c>
      <c r="E56" s="14" t="s">
        <v>356</v>
      </c>
      <c r="F56" s="14" t="s">
        <v>414</v>
      </c>
      <c r="G56" s="14">
        <v>3.0</v>
      </c>
      <c r="H56" s="14">
        <v>3.0</v>
      </c>
      <c r="I56" s="14">
        <v>2.0</v>
      </c>
      <c r="J56" s="14">
        <v>4.0</v>
      </c>
      <c r="K56" s="14">
        <v>3.0</v>
      </c>
      <c r="L56" s="14">
        <v>3.0</v>
      </c>
      <c r="M56" s="14">
        <v>3.0</v>
      </c>
      <c r="N56" s="14">
        <v>3.0</v>
      </c>
      <c r="O56" s="14">
        <v>3.0</v>
      </c>
      <c r="P56" s="14">
        <v>3.0</v>
      </c>
      <c r="Q56" s="14">
        <v>3.0</v>
      </c>
      <c r="R56" s="14">
        <v>5.0</v>
      </c>
      <c r="S56" s="14">
        <v>3.0</v>
      </c>
      <c r="T56" s="14">
        <v>4.0</v>
      </c>
      <c r="U56" s="14">
        <v>1.0</v>
      </c>
      <c r="V56" s="14">
        <v>4.0</v>
      </c>
      <c r="W56" s="14">
        <v>3.0</v>
      </c>
      <c r="X56" s="14">
        <v>3.0</v>
      </c>
      <c r="Y56" s="14">
        <v>3.0</v>
      </c>
      <c r="Z56" s="14">
        <v>4.0</v>
      </c>
      <c r="AA56" s="14">
        <v>2.0</v>
      </c>
      <c r="AB56" s="14">
        <v>5.0</v>
      </c>
      <c r="AC56" s="14">
        <v>4.0</v>
      </c>
      <c r="AD56" s="14">
        <v>3.0</v>
      </c>
      <c r="AE56" s="14">
        <v>5.0</v>
      </c>
      <c r="AF56" s="14">
        <v>3.0</v>
      </c>
      <c r="AG56" s="14">
        <v>3.0</v>
      </c>
      <c r="AH56" s="14">
        <v>5.0</v>
      </c>
      <c r="AI56" s="14">
        <v>4.0</v>
      </c>
      <c r="AJ56" s="14">
        <v>4.0</v>
      </c>
      <c r="AK56" s="14">
        <v>4.0</v>
      </c>
      <c r="AL56" s="14">
        <v>4.0</v>
      </c>
      <c r="AM56" s="14">
        <v>1.0</v>
      </c>
      <c r="AN56" s="14">
        <v>3.0</v>
      </c>
      <c r="AO56" s="14">
        <v>3.0</v>
      </c>
      <c r="AP56" s="14">
        <v>2.0</v>
      </c>
      <c r="AQ56" s="14">
        <v>3.0</v>
      </c>
      <c r="AR56" s="14">
        <v>4.0</v>
      </c>
      <c r="AS56" s="14">
        <v>3.0</v>
      </c>
      <c r="AT56" s="14">
        <v>4.0</v>
      </c>
      <c r="AU56" s="14">
        <v>3.0</v>
      </c>
      <c r="AV56" s="14">
        <v>4.0</v>
      </c>
      <c r="AW56" s="14">
        <v>4.0</v>
      </c>
      <c r="AX56" s="14">
        <v>3.0</v>
      </c>
      <c r="AY56" s="14">
        <v>4.0</v>
      </c>
      <c r="AZ56" s="14">
        <v>4.0</v>
      </c>
      <c r="BA56" s="14">
        <v>4.0</v>
      </c>
      <c r="BB56" s="14">
        <v>3.0</v>
      </c>
      <c r="BC56" s="14">
        <v>4.0</v>
      </c>
      <c r="BD56" s="14">
        <v>4.0</v>
      </c>
      <c r="BE56" s="14">
        <v>1.0</v>
      </c>
      <c r="BF56" s="14">
        <v>5.0</v>
      </c>
      <c r="BG56" s="14">
        <v>5.0</v>
      </c>
      <c r="BH56" s="14">
        <v>4.0</v>
      </c>
      <c r="BI56" s="14">
        <v>2.0</v>
      </c>
      <c r="BJ56" s="14">
        <v>4.0</v>
      </c>
      <c r="BK56" s="14">
        <v>3.0</v>
      </c>
      <c r="BL56" s="14">
        <v>3.0</v>
      </c>
      <c r="BM56" s="14">
        <v>3.0</v>
      </c>
      <c r="BN56" s="14">
        <v>3.0</v>
      </c>
      <c r="BO56" s="14">
        <v>5.0</v>
      </c>
      <c r="BP56" s="14">
        <v>5.0</v>
      </c>
      <c r="BQ56" s="14">
        <v>3.0</v>
      </c>
      <c r="BR56" s="14">
        <v>5.0</v>
      </c>
      <c r="BS56" s="14">
        <v>4.0</v>
      </c>
      <c r="BT56" s="14">
        <v>3.0</v>
      </c>
      <c r="BU56" s="14">
        <v>3.0</v>
      </c>
      <c r="BV56" s="14">
        <v>3.0</v>
      </c>
      <c r="BW56" s="14">
        <v>4.0</v>
      </c>
      <c r="BX56" s="14">
        <v>3.0</v>
      </c>
      <c r="BY56" s="14">
        <v>4.0</v>
      </c>
      <c r="BZ56" s="14">
        <v>3.0</v>
      </c>
    </row>
    <row r="57" ht="22.5" customHeight="1">
      <c r="A57" s="13">
        <v>46248.40502215278</v>
      </c>
      <c r="B57" s="14" t="s">
        <v>162</v>
      </c>
      <c r="C57" s="14" t="s">
        <v>417</v>
      </c>
      <c r="D57" s="14" t="s">
        <v>418</v>
      </c>
      <c r="E57" s="14" t="s">
        <v>365</v>
      </c>
      <c r="F57" s="14" t="s">
        <v>419</v>
      </c>
      <c r="G57" s="14">
        <v>2.0</v>
      </c>
      <c r="H57" s="14">
        <v>2.0</v>
      </c>
      <c r="I57" s="14">
        <v>1.0</v>
      </c>
      <c r="J57" s="14">
        <v>4.0</v>
      </c>
      <c r="K57" s="14">
        <v>3.0</v>
      </c>
      <c r="L57" s="14">
        <v>4.0</v>
      </c>
      <c r="M57" s="14">
        <v>4.0</v>
      </c>
      <c r="N57" s="14">
        <v>3.0</v>
      </c>
      <c r="O57" s="14">
        <v>2.0</v>
      </c>
      <c r="P57" s="14">
        <v>3.0</v>
      </c>
      <c r="Q57" s="14">
        <v>3.0</v>
      </c>
      <c r="R57" s="14">
        <v>5.0</v>
      </c>
      <c r="S57" s="14">
        <v>4.0</v>
      </c>
      <c r="T57" s="14">
        <v>4.0</v>
      </c>
      <c r="U57" s="14">
        <v>2.0</v>
      </c>
      <c r="V57" s="14">
        <v>5.0</v>
      </c>
      <c r="W57" s="14">
        <v>4.0</v>
      </c>
      <c r="X57" s="14">
        <v>4.0</v>
      </c>
      <c r="Y57" s="14">
        <v>5.0</v>
      </c>
      <c r="Z57" s="14">
        <v>3.0</v>
      </c>
      <c r="AA57" s="14">
        <v>3.0</v>
      </c>
      <c r="AB57" s="14">
        <v>5.0</v>
      </c>
      <c r="AC57" s="14">
        <v>5.0</v>
      </c>
      <c r="AD57" s="14">
        <v>4.0</v>
      </c>
      <c r="AE57" s="14">
        <v>1.0</v>
      </c>
      <c r="AF57" s="14">
        <v>2.0</v>
      </c>
      <c r="AG57" s="14">
        <v>1.0</v>
      </c>
      <c r="AH57" s="14">
        <v>5.0</v>
      </c>
      <c r="AI57" s="14">
        <v>4.0</v>
      </c>
      <c r="AJ57" s="14">
        <v>5.0</v>
      </c>
      <c r="AK57" s="14">
        <v>4.0</v>
      </c>
      <c r="AL57" s="14">
        <v>3.0</v>
      </c>
      <c r="AM57" s="14">
        <v>2.0</v>
      </c>
      <c r="AN57" s="14">
        <v>4.0</v>
      </c>
      <c r="AO57" s="14">
        <v>2.0</v>
      </c>
      <c r="AP57" s="14">
        <v>3.0</v>
      </c>
      <c r="AQ57" s="14">
        <v>4.0</v>
      </c>
      <c r="AR57" s="14">
        <v>2.0</v>
      </c>
      <c r="AS57" s="14">
        <v>3.0</v>
      </c>
      <c r="AT57" s="14">
        <v>4.0</v>
      </c>
      <c r="AU57" s="14">
        <v>3.0</v>
      </c>
      <c r="AV57" s="14">
        <v>5.0</v>
      </c>
      <c r="AW57" s="14">
        <v>2.0</v>
      </c>
      <c r="AX57" s="14">
        <v>3.0</v>
      </c>
      <c r="AY57" s="14">
        <v>3.0</v>
      </c>
      <c r="AZ57" s="14">
        <v>4.0</v>
      </c>
      <c r="BA57" s="14">
        <v>2.0</v>
      </c>
      <c r="BB57" s="14">
        <v>3.0</v>
      </c>
      <c r="BC57" s="14">
        <v>3.0</v>
      </c>
      <c r="BD57" s="14">
        <v>3.0</v>
      </c>
      <c r="BE57" s="14">
        <v>1.0</v>
      </c>
      <c r="BF57" s="14">
        <v>4.0</v>
      </c>
      <c r="BG57" s="14">
        <v>3.0</v>
      </c>
      <c r="BH57" s="14">
        <v>4.0</v>
      </c>
      <c r="BI57" s="14">
        <v>5.0</v>
      </c>
      <c r="BJ57" s="14">
        <v>3.0</v>
      </c>
      <c r="BK57" s="14">
        <v>2.0</v>
      </c>
      <c r="BL57" s="14">
        <v>3.0</v>
      </c>
      <c r="BM57" s="14">
        <v>4.0</v>
      </c>
      <c r="BN57" s="14">
        <v>4.0</v>
      </c>
      <c r="BO57" s="14">
        <v>4.0</v>
      </c>
      <c r="BP57" s="14">
        <v>2.0</v>
      </c>
      <c r="BQ57" s="14">
        <v>2.0</v>
      </c>
      <c r="BR57" s="14">
        <v>5.0</v>
      </c>
      <c r="BS57" s="14">
        <v>4.0</v>
      </c>
      <c r="BT57" s="14">
        <v>5.0</v>
      </c>
      <c r="BU57" s="14">
        <v>2.0</v>
      </c>
      <c r="BV57" s="14">
        <v>2.0</v>
      </c>
      <c r="BW57" s="14">
        <v>4.0</v>
      </c>
      <c r="BX57" s="14">
        <v>4.0</v>
      </c>
      <c r="BY57" s="14">
        <v>3.0</v>
      </c>
      <c r="BZ57" s="14">
        <v>5.0</v>
      </c>
    </row>
    <row r="58" ht="22.5" customHeight="1">
      <c r="A58" s="13">
        <v>46248.40509157407</v>
      </c>
      <c r="B58" s="14" t="s">
        <v>162</v>
      </c>
      <c r="C58" s="14" t="s">
        <v>422</v>
      </c>
      <c r="D58" s="14">
        <v>2025.0</v>
      </c>
      <c r="E58" s="14" t="s">
        <v>219</v>
      </c>
      <c r="F58" s="14" t="s">
        <v>423</v>
      </c>
      <c r="G58" s="14">
        <v>1.0</v>
      </c>
      <c r="H58" s="14">
        <v>3.0</v>
      </c>
      <c r="I58" s="14">
        <v>1.0</v>
      </c>
      <c r="J58" s="14">
        <v>5.0</v>
      </c>
      <c r="K58" s="14">
        <v>4.0</v>
      </c>
      <c r="L58" s="14">
        <v>4.0</v>
      </c>
      <c r="M58" s="14">
        <v>3.0</v>
      </c>
      <c r="N58" s="14">
        <v>5.0</v>
      </c>
      <c r="O58" s="14">
        <v>2.0</v>
      </c>
      <c r="P58" s="14">
        <v>3.0</v>
      </c>
      <c r="Q58" s="14">
        <v>4.0</v>
      </c>
      <c r="R58" s="14">
        <v>5.0</v>
      </c>
      <c r="S58" s="14">
        <v>3.0</v>
      </c>
      <c r="T58" s="14">
        <v>4.0</v>
      </c>
      <c r="U58" s="14">
        <v>2.0</v>
      </c>
      <c r="V58" s="14">
        <v>3.0</v>
      </c>
      <c r="W58" s="14">
        <v>4.0</v>
      </c>
      <c r="X58" s="14">
        <v>4.0</v>
      </c>
      <c r="Y58" s="14">
        <v>4.0</v>
      </c>
      <c r="Z58" s="14">
        <v>4.0</v>
      </c>
      <c r="AA58" s="14">
        <v>2.0</v>
      </c>
      <c r="AB58" s="14">
        <v>5.0</v>
      </c>
      <c r="AC58" s="14">
        <v>4.0</v>
      </c>
      <c r="AD58" s="14">
        <v>4.0</v>
      </c>
      <c r="AE58" s="14">
        <v>1.0</v>
      </c>
      <c r="AF58" s="14">
        <v>4.0</v>
      </c>
      <c r="AG58" s="14">
        <v>2.0</v>
      </c>
      <c r="AH58" s="14">
        <v>5.0</v>
      </c>
      <c r="AI58" s="14">
        <v>4.0</v>
      </c>
      <c r="AJ58" s="14">
        <v>5.0</v>
      </c>
      <c r="AK58" s="14">
        <v>4.0</v>
      </c>
      <c r="AL58" s="14">
        <v>3.0</v>
      </c>
      <c r="AM58" s="14">
        <v>1.0</v>
      </c>
      <c r="AN58" s="14">
        <v>3.0</v>
      </c>
      <c r="AO58" s="14">
        <v>3.0</v>
      </c>
      <c r="AP58" s="14">
        <v>3.0</v>
      </c>
      <c r="AQ58" s="14">
        <v>2.0</v>
      </c>
      <c r="AR58" s="14">
        <v>4.0</v>
      </c>
      <c r="AS58" s="14">
        <v>3.0</v>
      </c>
      <c r="AT58" s="14">
        <v>3.0</v>
      </c>
      <c r="AU58" s="14">
        <v>4.0</v>
      </c>
      <c r="AV58" s="14">
        <v>3.0</v>
      </c>
      <c r="AW58" s="14">
        <v>3.0</v>
      </c>
      <c r="AX58" s="14">
        <v>3.0</v>
      </c>
      <c r="AY58" s="14">
        <v>3.0</v>
      </c>
      <c r="AZ58" s="14">
        <v>4.0</v>
      </c>
      <c r="BA58" s="14">
        <v>4.0</v>
      </c>
      <c r="BB58" s="14">
        <v>5.0</v>
      </c>
      <c r="BC58" s="14">
        <v>4.0</v>
      </c>
      <c r="BD58" s="14">
        <v>4.0</v>
      </c>
      <c r="BE58" s="14">
        <v>1.0</v>
      </c>
      <c r="BF58" s="14">
        <v>4.0</v>
      </c>
      <c r="BG58" s="14">
        <v>4.0</v>
      </c>
      <c r="BH58" s="14">
        <v>4.0</v>
      </c>
      <c r="BI58" s="14">
        <v>4.0</v>
      </c>
      <c r="BJ58" s="14">
        <v>4.0</v>
      </c>
      <c r="BK58" s="14">
        <v>4.0</v>
      </c>
      <c r="BL58" s="14">
        <v>4.0</v>
      </c>
      <c r="BM58" s="14">
        <v>4.0</v>
      </c>
      <c r="BN58" s="14">
        <v>5.0</v>
      </c>
      <c r="BO58" s="14">
        <v>3.0</v>
      </c>
      <c r="BP58" s="14">
        <v>2.0</v>
      </c>
      <c r="BQ58" s="14">
        <v>3.0</v>
      </c>
      <c r="BR58" s="14">
        <v>4.0</v>
      </c>
      <c r="BS58" s="14">
        <v>4.0</v>
      </c>
      <c r="BT58" s="14">
        <v>4.0</v>
      </c>
      <c r="BU58" s="14">
        <v>4.0</v>
      </c>
      <c r="BV58" s="14">
        <v>4.0</v>
      </c>
      <c r="BW58" s="14">
        <v>4.0</v>
      </c>
      <c r="BX58" s="14">
        <v>4.0</v>
      </c>
      <c r="BY58" s="14">
        <v>4.0</v>
      </c>
      <c r="BZ58" s="14">
        <v>5.0</v>
      </c>
    </row>
    <row r="59" ht="22.5" customHeight="1">
      <c r="A59" s="13">
        <v>46248.40511212963</v>
      </c>
      <c r="B59" s="14" t="s">
        <v>162</v>
      </c>
      <c r="C59" s="14" t="s">
        <v>426</v>
      </c>
      <c r="D59" s="14">
        <v>2025.0</v>
      </c>
      <c r="E59" s="14" t="s">
        <v>427</v>
      </c>
      <c r="F59" s="14" t="s">
        <v>428</v>
      </c>
      <c r="G59" s="14">
        <v>3.0</v>
      </c>
      <c r="H59" s="14">
        <v>2.0</v>
      </c>
      <c r="I59" s="14">
        <v>2.0</v>
      </c>
      <c r="J59" s="14">
        <v>4.0</v>
      </c>
      <c r="K59" s="14">
        <v>3.0</v>
      </c>
      <c r="L59" s="14">
        <v>2.0</v>
      </c>
      <c r="M59" s="14">
        <v>3.0</v>
      </c>
      <c r="N59" s="14">
        <v>2.0</v>
      </c>
      <c r="O59" s="14">
        <v>3.0</v>
      </c>
      <c r="P59" s="14">
        <v>3.0</v>
      </c>
      <c r="Q59" s="14">
        <v>3.0</v>
      </c>
      <c r="R59" s="14">
        <v>3.0</v>
      </c>
      <c r="S59" s="14">
        <v>2.0</v>
      </c>
      <c r="T59" s="14">
        <v>2.0</v>
      </c>
      <c r="U59" s="14">
        <v>2.0</v>
      </c>
      <c r="V59" s="14">
        <v>3.0</v>
      </c>
      <c r="W59" s="14">
        <v>3.0</v>
      </c>
      <c r="X59" s="14">
        <v>2.0</v>
      </c>
      <c r="Y59" s="14">
        <v>2.0</v>
      </c>
      <c r="Z59" s="14">
        <v>3.0</v>
      </c>
      <c r="AA59" s="14">
        <v>4.0</v>
      </c>
      <c r="AB59" s="14">
        <v>4.0</v>
      </c>
      <c r="AC59" s="14">
        <v>4.0</v>
      </c>
      <c r="AD59" s="14">
        <v>3.0</v>
      </c>
      <c r="AE59" s="14">
        <v>3.0</v>
      </c>
      <c r="AF59" s="14">
        <v>4.0</v>
      </c>
      <c r="AG59" s="14">
        <v>3.0</v>
      </c>
      <c r="AH59" s="14">
        <v>3.0</v>
      </c>
      <c r="AI59" s="14">
        <v>3.0</v>
      </c>
      <c r="AJ59" s="14">
        <v>3.0</v>
      </c>
      <c r="AK59" s="14">
        <v>3.0</v>
      </c>
      <c r="AL59" s="14">
        <v>3.0</v>
      </c>
      <c r="AM59" s="14">
        <v>3.0</v>
      </c>
      <c r="AN59" s="14">
        <v>3.0</v>
      </c>
      <c r="AO59" s="14">
        <v>3.0</v>
      </c>
      <c r="AP59" s="14">
        <v>3.0</v>
      </c>
      <c r="AQ59" s="14">
        <v>3.0</v>
      </c>
      <c r="AR59" s="14">
        <v>3.0</v>
      </c>
      <c r="AS59" s="14">
        <v>3.0</v>
      </c>
      <c r="AT59" s="14">
        <v>3.0</v>
      </c>
      <c r="AU59" s="14">
        <v>3.0</v>
      </c>
      <c r="AV59" s="14">
        <v>3.0</v>
      </c>
      <c r="AW59" s="14">
        <v>3.0</v>
      </c>
      <c r="AX59" s="14">
        <v>3.0</v>
      </c>
      <c r="AY59" s="14">
        <v>3.0</v>
      </c>
      <c r="AZ59" s="14">
        <v>3.0</v>
      </c>
      <c r="BA59" s="14">
        <v>3.0</v>
      </c>
      <c r="BB59" s="14">
        <v>3.0</v>
      </c>
      <c r="BC59" s="14">
        <v>2.0</v>
      </c>
      <c r="BD59" s="14">
        <v>2.0</v>
      </c>
      <c r="BE59" s="14">
        <v>2.0</v>
      </c>
      <c r="BF59" s="14">
        <v>3.0</v>
      </c>
      <c r="BG59" s="14">
        <v>2.0</v>
      </c>
      <c r="BH59" s="14">
        <v>3.0</v>
      </c>
      <c r="BI59" s="14">
        <v>4.0</v>
      </c>
      <c r="BJ59" s="14">
        <v>3.0</v>
      </c>
      <c r="BK59" s="14">
        <v>3.0</v>
      </c>
      <c r="BL59" s="14">
        <v>2.0</v>
      </c>
      <c r="BM59" s="14">
        <v>3.0</v>
      </c>
      <c r="BN59" s="14">
        <v>3.0</v>
      </c>
      <c r="BO59" s="14">
        <v>3.0</v>
      </c>
      <c r="BP59" s="14">
        <v>3.0</v>
      </c>
      <c r="BQ59" s="14">
        <v>2.0</v>
      </c>
      <c r="BR59" s="14">
        <v>3.0</v>
      </c>
      <c r="BS59" s="14">
        <v>3.0</v>
      </c>
      <c r="BT59" s="14">
        <v>4.0</v>
      </c>
      <c r="BU59" s="14">
        <v>3.0</v>
      </c>
      <c r="BV59" s="14">
        <v>2.0</v>
      </c>
      <c r="BW59" s="14">
        <v>2.0</v>
      </c>
      <c r="BX59" s="14">
        <v>3.0</v>
      </c>
      <c r="BY59" s="14">
        <v>2.0</v>
      </c>
      <c r="BZ59" s="14">
        <v>4.0</v>
      </c>
    </row>
    <row r="60" ht="22.5" customHeight="1">
      <c r="A60" s="13">
        <v>46248.405117118054</v>
      </c>
      <c r="B60" s="14" t="s">
        <v>162</v>
      </c>
      <c r="C60" s="14" t="s">
        <v>431</v>
      </c>
      <c r="D60" s="14">
        <v>2023.0</v>
      </c>
      <c r="E60" s="14" t="s">
        <v>213</v>
      </c>
      <c r="F60" s="14" t="s">
        <v>432</v>
      </c>
      <c r="G60" s="14">
        <v>2.0</v>
      </c>
      <c r="H60" s="14">
        <v>2.0</v>
      </c>
      <c r="I60" s="14">
        <v>5.0</v>
      </c>
      <c r="J60" s="14">
        <v>4.0</v>
      </c>
      <c r="K60" s="14">
        <v>4.0</v>
      </c>
      <c r="L60" s="14">
        <v>3.0</v>
      </c>
      <c r="M60" s="14">
        <v>4.0</v>
      </c>
      <c r="N60" s="14">
        <v>2.0</v>
      </c>
      <c r="O60" s="14">
        <v>4.0</v>
      </c>
      <c r="P60" s="14">
        <v>5.0</v>
      </c>
      <c r="Q60" s="14">
        <v>4.0</v>
      </c>
      <c r="R60" s="14">
        <v>5.0</v>
      </c>
      <c r="S60" s="14">
        <v>5.0</v>
      </c>
      <c r="T60" s="14">
        <v>3.0</v>
      </c>
      <c r="U60" s="14">
        <v>4.0</v>
      </c>
      <c r="V60" s="14">
        <v>5.0</v>
      </c>
      <c r="W60" s="14">
        <v>3.0</v>
      </c>
      <c r="X60" s="14">
        <v>1.0</v>
      </c>
      <c r="Y60" s="14">
        <v>2.0</v>
      </c>
      <c r="Z60" s="14">
        <v>3.0</v>
      </c>
      <c r="AA60" s="14">
        <v>4.0</v>
      </c>
      <c r="AB60" s="14">
        <v>5.0</v>
      </c>
      <c r="AC60" s="14">
        <v>5.0</v>
      </c>
      <c r="AD60" s="14">
        <v>3.0</v>
      </c>
      <c r="AE60" s="14">
        <v>1.0</v>
      </c>
      <c r="AF60" s="14">
        <v>3.0</v>
      </c>
      <c r="AG60" s="14">
        <v>4.0</v>
      </c>
      <c r="AH60" s="14">
        <v>5.0</v>
      </c>
      <c r="AI60" s="14">
        <v>4.0</v>
      </c>
      <c r="AJ60" s="14">
        <v>4.0</v>
      </c>
      <c r="AK60" s="14">
        <v>5.0</v>
      </c>
      <c r="AL60" s="14">
        <v>3.0</v>
      </c>
      <c r="AM60" s="14">
        <v>4.0</v>
      </c>
      <c r="AN60" s="14">
        <v>5.0</v>
      </c>
      <c r="AO60" s="14">
        <v>1.0</v>
      </c>
      <c r="AP60" s="14">
        <v>2.0</v>
      </c>
      <c r="AQ60" s="14">
        <v>5.0</v>
      </c>
      <c r="AR60" s="14">
        <v>3.0</v>
      </c>
      <c r="AS60" s="14">
        <v>2.0</v>
      </c>
      <c r="AT60" s="14">
        <v>4.0</v>
      </c>
      <c r="AU60" s="14">
        <v>4.0</v>
      </c>
      <c r="AV60" s="14">
        <v>4.0</v>
      </c>
      <c r="AW60" s="14">
        <v>1.0</v>
      </c>
      <c r="AX60" s="14">
        <v>4.0</v>
      </c>
      <c r="AY60" s="14">
        <v>4.0</v>
      </c>
      <c r="AZ60" s="14">
        <v>5.0</v>
      </c>
      <c r="BA60" s="14">
        <v>5.0</v>
      </c>
      <c r="BB60" s="14">
        <v>5.0</v>
      </c>
      <c r="BC60" s="14">
        <v>5.0</v>
      </c>
      <c r="BD60" s="14">
        <v>3.0</v>
      </c>
      <c r="BE60" s="14">
        <v>4.0</v>
      </c>
      <c r="BF60" s="14">
        <v>5.0</v>
      </c>
      <c r="BG60" s="14">
        <v>5.0</v>
      </c>
      <c r="BH60" s="14">
        <v>5.0</v>
      </c>
      <c r="BI60" s="14">
        <v>4.0</v>
      </c>
      <c r="BJ60" s="14">
        <v>4.0</v>
      </c>
      <c r="BK60" s="14">
        <v>3.0</v>
      </c>
      <c r="BL60" s="14">
        <v>5.0</v>
      </c>
      <c r="BM60" s="14">
        <v>5.0</v>
      </c>
      <c r="BN60" s="14">
        <v>4.0</v>
      </c>
      <c r="BO60" s="14">
        <v>4.0</v>
      </c>
      <c r="BP60" s="14">
        <v>1.0</v>
      </c>
      <c r="BQ60" s="14">
        <v>4.0</v>
      </c>
      <c r="BR60" s="14">
        <v>5.0</v>
      </c>
      <c r="BS60" s="14">
        <v>5.0</v>
      </c>
      <c r="BT60" s="14">
        <v>4.0</v>
      </c>
      <c r="BU60" s="14">
        <v>4.0</v>
      </c>
      <c r="BV60" s="14">
        <v>4.0</v>
      </c>
      <c r="BW60" s="14">
        <v>3.0</v>
      </c>
      <c r="BX60" s="14">
        <v>4.0</v>
      </c>
      <c r="BY60" s="14">
        <v>5.0</v>
      </c>
      <c r="BZ60" s="14">
        <v>4.0</v>
      </c>
    </row>
    <row r="61" ht="22.5" customHeight="1">
      <c r="A61" s="13">
        <v>46248.40513381944</v>
      </c>
      <c r="B61" s="14" t="s">
        <v>162</v>
      </c>
      <c r="C61" s="14" t="s">
        <v>435</v>
      </c>
      <c r="D61" s="14">
        <v>2024.0</v>
      </c>
      <c r="E61" s="14" t="s">
        <v>239</v>
      </c>
      <c r="F61" s="14" t="s">
        <v>436</v>
      </c>
      <c r="G61" s="14">
        <v>4.0</v>
      </c>
      <c r="H61" s="14">
        <v>3.0</v>
      </c>
      <c r="I61" s="14">
        <v>2.0</v>
      </c>
      <c r="J61" s="14">
        <v>3.0</v>
      </c>
      <c r="K61" s="14">
        <v>3.0</v>
      </c>
      <c r="L61" s="14">
        <v>3.0</v>
      </c>
      <c r="M61" s="14">
        <v>3.0</v>
      </c>
      <c r="N61" s="14">
        <v>3.0</v>
      </c>
      <c r="O61" s="14">
        <v>3.0</v>
      </c>
      <c r="P61" s="14">
        <v>3.0</v>
      </c>
      <c r="Q61" s="14">
        <v>3.0</v>
      </c>
      <c r="R61" s="14">
        <v>3.0</v>
      </c>
      <c r="S61" s="14">
        <v>3.0</v>
      </c>
      <c r="T61" s="14">
        <v>3.0</v>
      </c>
      <c r="U61" s="14">
        <v>2.0</v>
      </c>
      <c r="V61" s="14">
        <v>3.0</v>
      </c>
      <c r="W61" s="14">
        <v>3.0</v>
      </c>
      <c r="X61" s="14">
        <v>3.0</v>
      </c>
      <c r="Y61" s="14">
        <v>2.0</v>
      </c>
      <c r="Z61" s="14">
        <v>2.0</v>
      </c>
      <c r="AA61" s="14">
        <v>4.0</v>
      </c>
      <c r="AB61" s="14">
        <v>3.0</v>
      </c>
      <c r="AC61" s="14">
        <v>3.0</v>
      </c>
      <c r="AD61" s="14">
        <v>2.0</v>
      </c>
      <c r="AE61" s="14">
        <v>1.0</v>
      </c>
      <c r="AF61" s="14">
        <v>3.0</v>
      </c>
      <c r="AG61" s="14">
        <v>2.0</v>
      </c>
      <c r="AH61" s="14">
        <v>3.0</v>
      </c>
      <c r="AI61" s="14">
        <v>3.0</v>
      </c>
      <c r="AJ61" s="14">
        <v>3.0</v>
      </c>
      <c r="AK61" s="14">
        <v>3.0</v>
      </c>
      <c r="AL61" s="14">
        <v>2.0</v>
      </c>
      <c r="AM61" s="14">
        <v>1.0</v>
      </c>
      <c r="AN61" s="14">
        <v>3.0</v>
      </c>
      <c r="AO61" s="14">
        <v>3.0</v>
      </c>
      <c r="AP61" s="14">
        <v>1.0</v>
      </c>
      <c r="AQ61" s="14">
        <v>1.0</v>
      </c>
      <c r="AR61" s="14">
        <v>1.0</v>
      </c>
      <c r="AS61" s="14">
        <v>3.0</v>
      </c>
      <c r="AT61" s="14">
        <v>3.0</v>
      </c>
      <c r="AU61" s="14">
        <v>3.0</v>
      </c>
      <c r="AV61" s="14">
        <v>4.0</v>
      </c>
      <c r="AW61" s="14">
        <v>1.0</v>
      </c>
      <c r="AX61" s="14">
        <v>1.0</v>
      </c>
      <c r="AY61" s="14">
        <v>4.0</v>
      </c>
      <c r="AZ61" s="14">
        <v>3.0</v>
      </c>
      <c r="BA61" s="14">
        <v>4.0</v>
      </c>
      <c r="BB61" s="14">
        <v>4.0</v>
      </c>
      <c r="BC61" s="14">
        <v>3.0</v>
      </c>
      <c r="BD61" s="14">
        <v>2.0</v>
      </c>
      <c r="BE61" s="14">
        <v>1.0</v>
      </c>
      <c r="BF61" s="14">
        <v>4.0</v>
      </c>
      <c r="BG61" s="14">
        <v>3.0</v>
      </c>
      <c r="BH61" s="14">
        <v>3.0</v>
      </c>
      <c r="BI61" s="14">
        <v>4.0</v>
      </c>
      <c r="BJ61" s="14">
        <v>4.0</v>
      </c>
      <c r="BK61" s="14">
        <v>3.0</v>
      </c>
      <c r="BL61" s="14">
        <v>3.0</v>
      </c>
      <c r="BM61" s="14">
        <v>4.0</v>
      </c>
      <c r="BN61" s="14">
        <v>2.0</v>
      </c>
      <c r="BO61" s="14">
        <v>3.0</v>
      </c>
      <c r="BP61" s="14">
        <v>3.0</v>
      </c>
      <c r="BQ61" s="14">
        <v>4.0</v>
      </c>
      <c r="BR61" s="14">
        <v>4.0</v>
      </c>
      <c r="BS61" s="14">
        <v>4.0</v>
      </c>
      <c r="BT61" s="14">
        <v>4.0</v>
      </c>
      <c r="BU61" s="14">
        <v>4.0</v>
      </c>
      <c r="BV61" s="14">
        <v>3.0</v>
      </c>
      <c r="BW61" s="14">
        <v>4.0</v>
      </c>
      <c r="BX61" s="14">
        <v>4.0</v>
      </c>
      <c r="BY61" s="14">
        <v>3.0</v>
      </c>
      <c r="BZ61" s="14">
        <v>4.0</v>
      </c>
    </row>
    <row r="62" ht="22.5" customHeight="1">
      <c r="A62" s="13">
        <v>46248.4051831713</v>
      </c>
      <c r="B62" s="14" t="s">
        <v>162</v>
      </c>
      <c r="C62" s="14" t="s">
        <v>439</v>
      </c>
      <c r="D62" s="14">
        <v>2026.0</v>
      </c>
      <c r="E62" s="14" t="s">
        <v>365</v>
      </c>
      <c r="F62" s="14" t="s">
        <v>440</v>
      </c>
      <c r="G62" s="14">
        <v>4.0</v>
      </c>
      <c r="H62" s="14">
        <v>3.0</v>
      </c>
      <c r="I62" s="14">
        <v>2.0</v>
      </c>
      <c r="J62" s="14">
        <v>4.0</v>
      </c>
      <c r="K62" s="14">
        <v>3.0</v>
      </c>
      <c r="L62" s="14">
        <v>1.0</v>
      </c>
      <c r="M62" s="14">
        <v>4.0</v>
      </c>
      <c r="N62" s="14">
        <v>1.0</v>
      </c>
      <c r="O62" s="14">
        <v>1.0</v>
      </c>
      <c r="P62" s="14">
        <v>1.0</v>
      </c>
      <c r="Q62" s="14">
        <v>1.0</v>
      </c>
      <c r="R62" s="14">
        <v>1.0</v>
      </c>
      <c r="S62" s="14">
        <v>1.0</v>
      </c>
      <c r="T62" s="14">
        <v>1.0</v>
      </c>
      <c r="U62" s="14">
        <v>1.0</v>
      </c>
      <c r="V62" s="14">
        <v>3.0</v>
      </c>
      <c r="W62" s="14">
        <v>1.0</v>
      </c>
      <c r="X62" s="14">
        <v>1.0</v>
      </c>
      <c r="Y62" s="14">
        <v>1.0</v>
      </c>
      <c r="Z62" s="14">
        <v>2.0</v>
      </c>
      <c r="AA62" s="14">
        <v>4.0</v>
      </c>
      <c r="AB62" s="14">
        <v>4.0</v>
      </c>
      <c r="AC62" s="14">
        <v>4.0</v>
      </c>
      <c r="AD62" s="14">
        <v>1.0</v>
      </c>
      <c r="AE62" s="14">
        <v>1.0</v>
      </c>
      <c r="AF62" s="14">
        <v>1.0</v>
      </c>
      <c r="AG62" s="14">
        <v>1.0</v>
      </c>
      <c r="AH62" s="14">
        <v>4.0</v>
      </c>
      <c r="AI62" s="14">
        <v>1.0</v>
      </c>
      <c r="AJ62" s="14">
        <v>4.0</v>
      </c>
      <c r="AK62" s="14">
        <v>1.0</v>
      </c>
      <c r="AL62" s="14">
        <v>1.0</v>
      </c>
      <c r="AM62" s="14">
        <v>1.0</v>
      </c>
      <c r="AN62" s="14">
        <v>1.0</v>
      </c>
      <c r="AO62" s="14">
        <v>1.0</v>
      </c>
      <c r="AP62" s="14">
        <v>1.0</v>
      </c>
      <c r="AQ62" s="14">
        <v>1.0</v>
      </c>
      <c r="AR62" s="14">
        <v>1.0</v>
      </c>
      <c r="AS62" s="14">
        <v>2.0</v>
      </c>
      <c r="AT62" s="14">
        <v>2.0</v>
      </c>
      <c r="AU62" s="14">
        <v>1.0</v>
      </c>
      <c r="AV62" s="14">
        <v>3.0</v>
      </c>
      <c r="AW62" s="14">
        <v>1.0</v>
      </c>
      <c r="AX62" s="14">
        <v>1.0</v>
      </c>
      <c r="AY62" s="14">
        <v>4.0</v>
      </c>
      <c r="AZ62" s="14">
        <v>3.0</v>
      </c>
      <c r="BA62" s="14">
        <v>2.0</v>
      </c>
      <c r="BB62" s="14">
        <v>3.0</v>
      </c>
      <c r="BC62" s="14">
        <v>3.0</v>
      </c>
      <c r="BD62" s="14">
        <v>1.0</v>
      </c>
      <c r="BE62" s="14">
        <v>1.0</v>
      </c>
      <c r="BF62" s="14">
        <v>4.0</v>
      </c>
      <c r="BG62" s="14">
        <v>2.0</v>
      </c>
      <c r="BH62" s="14">
        <v>3.0</v>
      </c>
      <c r="BI62" s="14">
        <v>4.0</v>
      </c>
      <c r="BJ62" s="14">
        <v>2.0</v>
      </c>
      <c r="BK62" s="14">
        <v>2.0</v>
      </c>
      <c r="BL62" s="14">
        <v>3.0</v>
      </c>
      <c r="BM62" s="14">
        <v>4.0</v>
      </c>
      <c r="BN62" s="14">
        <v>4.0</v>
      </c>
      <c r="BO62" s="14">
        <v>2.0</v>
      </c>
      <c r="BP62" s="14">
        <v>2.0</v>
      </c>
      <c r="BQ62" s="14">
        <v>3.0</v>
      </c>
      <c r="BR62" s="14">
        <v>4.0</v>
      </c>
      <c r="BS62" s="14">
        <v>2.0</v>
      </c>
      <c r="BT62" s="14">
        <v>3.0</v>
      </c>
      <c r="BU62" s="14">
        <v>2.0</v>
      </c>
      <c r="BV62" s="14">
        <v>1.0</v>
      </c>
      <c r="BW62" s="14">
        <v>2.0</v>
      </c>
      <c r="BX62" s="14">
        <v>3.0</v>
      </c>
      <c r="BY62" s="14">
        <v>2.0</v>
      </c>
      <c r="BZ62" s="14">
        <v>2.0</v>
      </c>
    </row>
    <row r="63" ht="22.5" customHeight="1">
      <c r="A63" s="13">
        <v>46248.40522252315</v>
      </c>
      <c r="B63" s="14" t="s">
        <v>162</v>
      </c>
      <c r="C63" s="14" t="s">
        <v>443</v>
      </c>
      <c r="D63" s="14">
        <v>2025.0</v>
      </c>
      <c r="E63" s="14" t="s">
        <v>219</v>
      </c>
      <c r="F63" s="14" t="s">
        <v>444</v>
      </c>
      <c r="G63" s="14">
        <v>3.0</v>
      </c>
      <c r="H63" s="14">
        <v>4.0</v>
      </c>
      <c r="I63" s="14">
        <v>3.0</v>
      </c>
      <c r="J63" s="14">
        <v>4.0</v>
      </c>
      <c r="K63" s="14">
        <v>3.0</v>
      </c>
      <c r="L63" s="14">
        <v>3.0</v>
      </c>
      <c r="M63" s="14">
        <v>4.0</v>
      </c>
      <c r="N63" s="14">
        <v>3.0</v>
      </c>
      <c r="O63" s="14">
        <v>3.0</v>
      </c>
      <c r="P63" s="14">
        <v>2.0</v>
      </c>
      <c r="Q63" s="14">
        <v>3.0</v>
      </c>
      <c r="R63" s="14">
        <v>4.0</v>
      </c>
      <c r="S63" s="14">
        <v>4.0</v>
      </c>
      <c r="T63" s="14">
        <v>3.0</v>
      </c>
      <c r="U63" s="14">
        <v>5.0</v>
      </c>
      <c r="V63" s="14">
        <v>5.0</v>
      </c>
      <c r="W63" s="14">
        <v>3.0</v>
      </c>
      <c r="X63" s="14">
        <v>2.0</v>
      </c>
      <c r="Y63" s="14">
        <v>4.0</v>
      </c>
      <c r="Z63" s="14">
        <v>4.0</v>
      </c>
      <c r="AA63" s="14">
        <v>4.0</v>
      </c>
      <c r="AB63" s="14">
        <v>4.0</v>
      </c>
      <c r="AC63" s="14">
        <v>3.0</v>
      </c>
      <c r="AD63" s="14">
        <v>4.0</v>
      </c>
      <c r="AE63" s="14">
        <v>2.0</v>
      </c>
      <c r="AF63" s="14">
        <v>3.0</v>
      </c>
      <c r="AG63" s="14">
        <v>3.0</v>
      </c>
      <c r="AH63" s="14">
        <v>5.0</v>
      </c>
      <c r="AI63" s="14">
        <v>3.0</v>
      </c>
      <c r="AJ63" s="14">
        <v>4.0</v>
      </c>
      <c r="AK63" s="14">
        <v>4.0</v>
      </c>
      <c r="AL63" s="14">
        <v>5.0</v>
      </c>
      <c r="AM63" s="14">
        <v>3.0</v>
      </c>
      <c r="AN63" s="14">
        <v>3.0</v>
      </c>
      <c r="AO63" s="14">
        <v>3.0</v>
      </c>
      <c r="AP63" s="14">
        <v>4.0</v>
      </c>
      <c r="AQ63" s="14">
        <v>3.0</v>
      </c>
      <c r="AR63" s="14">
        <v>3.0</v>
      </c>
      <c r="AS63" s="14">
        <v>3.0</v>
      </c>
      <c r="AT63" s="14">
        <v>4.0</v>
      </c>
      <c r="AU63" s="14">
        <v>5.0</v>
      </c>
      <c r="AV63" s="14">
        <v>5.0</v>
      </c>
      <c r="AW63" s="14">
        <v>3.0</v>
      </c>
      <c r="AX63" s="14">
        <v>3.0</v>
      </c>
      <c r="AY63" s="14">
        <v>4.0</v>
      </c>
      <c r="AZ63" s="14">
        <v>5.0</v>
      </c>
      <c r="BA63" s="14">
        <v>4.0</v>
      </c>
      <c r="BB63" s="14">
        <v>4.0</v>
      </c>
      <c r="BC63" s="14">
        <v>4.0</v>
      </c>
      <c r="BD63" s="14">
        <v>3.0</v>
      </c>
      <c r="BE63" s="14">
        <v>3.0</v>
      </c>
      <c r="BF63" s="14">
        <v>4.0</v>
      </c>
      <c r="BG63" s="14">
        <v>4.0</v>
      </c>
      <c r="BH63" s="14">
        <v>5.0</v>
      </c>
      <c r="BI63" s="14">
        <v>4.0</v>
      </c>
      <c r="BJ63" s="14">
        <v>4.0</v>
      </c>
      <c r="BK63" s="14">
        <v>3.0</v>
      </c>
      <c r="BL63" s="14">
        <v>3.0</v>
      </c>
      <c r="BM63" s="14">
        <v>5.0</v>
      </c>
      <c r="BN63" s="14">
        <v>4.0</v>
      </c>
      <c r="BO63" s="14">
        <v>4.0</v>
      </c>
      <c r="BP63" s="14">
        <v>2.0</v>
      </c>
      <c r="BQ63" s="14">
        <v>4.0</v>
      </c>
      <c r="BR63" s="14">
        <v>5.0</v>
      </c>
      <c r="BS63" s="14">
        <v>3.0</v>
      </c>
      <c r="BT63" s="14">
        <v>5.0</v>
      </c>
      <c r="BU63" s="14">
        <v>3.0</v>
      </c>
      <c r="BV63" s="14">
        <v>3.0</v>
      </c>
      <c r="BW63" s="14">
        <v>4.0</v>
      </c>
      <c r="BX63" s="14">
        <v>4.0</v>
      </c>
      <c r="BY63" s="14">
        <v>3.0</v>
      </c>
      <c r="BZ63" s="14">
        <v>4.0</v>
      </c>
    </row>
    <row r="64" ht="22.5" customHeight="1">
      <c r="A64" s="13">
        <v>46248.40534103009</v>
      </c>
      <c r="B64" s="14" t="s">
        <v>162</v>
      </c>
      <c r="C64" s="14" t="s">
        <v>447</v>
      </c>
      <c r="D64" s="14">
        <v>2023.0</v>
      </c>
      <c r="E64" s="14" t="s">
        <v>374</v>
      </c>
      <c r="F64" s="14" t="s">
        <v>448</v>
      </c>
      <c r="G64" s="14">
        <v>3.0</v>
      </c>
      <c r="H64" s="14">
        <v>4.0</v>
      </c>
      <c r="I64" s="14">
        <v>3.0</v>
      </c>
      <c r="J64" s="14">
        <v>4.0</v>
      </c>
      <c r="K64" s="14">
        <v>2.0</v>
      </c>
      <c r="L64" s="14">
        <v>3.0</v>
      </c>
      <c r="M64" s="14">
        <v>2.0</v>
      </c>
      <c r="N64" s="14">
        <v>4.0</v>
      </c>
      <c r="O64" s="14">
        <v>5.0</v>
      </c>
      <c r="P64" s="14">
        <v>3.0</v>
      </c>
      <c r="Q64" s="14">
        <v>2.0</v>
      </c>
      <c r="R64" s="14">
        <v>5.0</v>
      </c>
      <c r="S64" s="14">
        <v>4.0</v>
      </c>
      <c r="T64" s="14">
        <v>3.0</v>
      </c>
      <c r="U64" s="14">
        <v>4.0</v>
      </c>
      <c r="V64" s="14">
        <v>4.0</v>
      </c>
      <c r="W64" s="14">
        <v>3.0</v>
      </c>
      <c r="X64" s="14">
        <v>4.0</v>
      </c>
      <c r="Y64" s="14">
        <v>2.0</v>
      </c>
      <c r="Z64" s="14">
        <v>4.0</v>
      </c>
      <c r="AA64" s="14">
        <v>5.0</v>
      </c>
      <c r="AB64" s="14">
        <v>4.0</v>
      </c>
      <c r="AC64" s="14">
        <v>3.0</v>
      </c>
      <c r="AD64" s="14">
        <v>5.0</v>
      </c>
      <c r="AE64" s="14">
        <v>3.0</v>
      </c>
      <c r="AF64" s="14">
        <v>3.0</v>
      </c>
      <c r="AG64" s="14">
        <v>4.0</v>
      </c>
      <c r="AH64" s="14">
        <v>5.0</v>
      </c>
      <c r="AI64" s="14">
        <v>3.0</v>
      </c>
      <c r="AJ64" s="14">
        <v>5.0</v>
      </c>
      <c r="AK64" s="14">
        <v>4.0</v>
      </c>
      <c r="AL64" s="14">
        <v>4.0</v>
      </c>
      <c r="AM64" s="14">
        <v>3.0</v>
      </c>
      <c r="AN64" s="14">
        <v>4.0</v>
      </c>
      <c r="AO64" s="14">
        <v>4.0</v>
      </c>
      <c r="AP64" s="14">
        <v>3.0</v>
      </c>
      <c r="AQ64" s="14">
        <v>4.0</v>
      </c>
      <c r="AR64" s="14">
        <v>3.0</v>
      </c>
      <c r="AS64" s="14">
        <v>4.0</v>
      </c>
      <c r="AT64" s="14">
        <v>4.0</v>
      </c>
      <c r="AU64" s="14">
        <v>3.0</v>
      </c>
      <c r="AV64" s="14">
        <v>5.0</v>
      </c>
      <c r="AW64" s="14">
        <v>3.0</v>
      </c>
      <c r="AX64" s="14">
        <v>4.0</v>
      </c>
      <c r="AY64" s="14">
        <v>3.0</v>
      </c>
      <c r="AZ64" s="14">
        <v>5.0</v>
      </c>
      <c r="BA64" s="14">
        <v>4.0</v>
      </c>
      <c r="BB64" s="14">
        <v>5.0</v>
      </c>
      <c r="BC64" s="14">
        <v>4.0</v>
      </c>
      <c r="BD64" s="14">
        <v>5.0</v>
      </c>
      <c r="BE64" s="14">
        <v>3.0</v>
      </c>
      <c r="BF64" s="14">
        <v>5.0</v>
      </c>
      <c r="BG64" s="14">
        <v>4.0</v>
      </c>
      <c r="BH64" s="14">
        <v>4.0</v>
      </c>
      <c r="BI64" s="14">
        <v>5.0</v>
      </c>
      <c r="BJ64" s="14">
        <v>3.0</v>
      </c>
      <c r="BK64" s="14">
        <v>3.0</v>
      </c>
      <c r="BL64" s="14">
        <v>4.0</v>
      </c>
      <c r="BM64" s="14">
        <v>4.0</v>
      </c>
      <c r="BN64" s="14">
        <v>5.0</v>
      </c>
      <c r="BO64" s="14">
        <v>4.0</v>
      </c>
      <c r="BP64" s="14">
        <v>3.0</v>
      </c>
      <c r="BQ64" s="14">
        <v>4.0</v>
      </c>
      <c r="BR64" s="14">
        <v>5.0</v>
      </c>
      <c r="BS64" s="14">
        <v>5.0</v>
      </c>
      <c r="BT64" s="14">
        <v>5.0</v>
      </c>
      <c r="BU64" s="14">
        <v>3.0</v>
      </c>
      <c r="BV64" s="14">
        <v>4.0</v>
      </c>
      <c r="BW64" s="14">
        <v>4.0</v>
      </c>
      <c r="BX64" s="14">
        <v>5.0</v>
      </c>
      <c r="BY64" s="14">
        <v>4.0</v>
      </c>
      <c r="BZ64" s="14">
        <v>5.0</v>
      </c>
    </row>
    <row r="65" ht="22.5" customHeight="1">
      <c r="A65" s="13">
        <v>46248.40534469907</v>
      </c>
      <c r="B65" s="14" t="s">
        <v>162</v>
      </c>
      <c r="C65" s="14" t="s">
        <v>451</v>
      </c>
      <c r="D65" s="14">
        <v>2025.0</v>
      </c>
      <c r="E65" s="14" t="s">
        <v>296</v>
      </c>
      <c r="F65" s="14" t="s">
        <v>452</v>
      </c>
      <c r="G65" s="14">
        <v>2.0</v>
      </c>
      <c r="H65" s="14">
        <v>3.0</v>
      </c>
      <c r="I65" s="14">
        <v>5.0</v>
      </c>
      <c r="J65" s="14">
        <v>5.0</v>
      </c>
      <c r="K65" s="14">
        <v>3.0</v>
      </c>
      <c r="L65" s="14">
        <v>3.0</v>
      </c>
      <c r="M65" s="14">
        <v>3.0</v>
      </c>
      <c r="N65" s="14">
        <v>1.0</v>
      </c>
      <c r="O65" s="14">
        <v>1.0</v>
      </c>
      <c r="P65" s="14">
        <v>4.0</v>
      </c>
      <c r="Q65" s="14">
        <v>1.0</v>
      </c>
      <c r="R65" s="14">
        <v>3.0</v>
      </c>
      <c r="S65" s="14">
        <v>2.0</v>
      </c>
      <c r="T65" s="14">
        <v>3.0</v>
      </c>
      <c r="U65" s="14">
        <v>5.0</v>
      </c>
      <c r="V65" s="14">
        <v>5.0</v>
      </c>
      <c r="W65" s="14">
        <v>3.0</v>
      </c>
      <c r="X65" s="14">
        <v>2.0</v>
      </c>
      <c r="Y65" s="14">
        <v>2.0</v>
      </c>
      <c r="Z65" s="14">
        <v>2.0</v>
      </c>
      <c r="AA65" s="14">
        <v>5.0</v>
      </c>
      <c r="AB65" s="14">
        <v>4.0</v>
      </c>
      <c r="AC65" s="14">
        <v>4.0</v>
      </c>
      <c r="AD65" s="14">
        <v>2.0</v>
      </c>
      <c r="AE65" s="14">
        <v>1.0</v>
      </c>
      <c r="AF65" s="14">
        <v>1.0</v>
      </c>
      <c r="AG65" s="14">
        <v>3.0</v>
      </c>
      <c r="AH65" s="14">
        <v>4.0</v>
      </c>
      <c r="AI65" s="14">
        <v>2.0</v>
      </c>
      <c r="AJ65" s="14">
        <v>3.0</v>
      </c>
      <c r="AK65" s="14">
        <v>2.0</v>
      </c>
      <c r="AL65" s="14">
        <v>4.0</v>
      </c>
      <c r="AM65" s="14">
        <v>5.0</v>
      </c>
      <c r="AN65" s="14">
        <v>4.0</v>
      </c>
      <c r="AO65" s="14">
        <v>1.0</v>
      </c>
      <c r="AP65" s="14">
        <v>1.0</v>
      </c>
      <c r="AQ65" s="14">
        <v>1.0</v>
      </c>
      <c r="AR65" s="14">
        <v>1.0</v>
      </c>
      <c r="AS65" s="14">
        <v>3.0</v>
      </c>
      <c r="AT65" s="14">
        <v>4.0</v>
      </c>
      <c r="AU65" s="14">
        <v>3.0</v>
      </c>
      <c r="AV65" s="14">
        <v>5.0</v>
      </c>
      <c r="AW65" s="14">
        <v>3.0</v>
      </c>
      <c r="AX65" s="14">
        <v>2.0</v>
      </c>
      <c r="AY65" s="14">
        <v>5.0</v>
      </c>
      <c r="AZ65" s="14">
        <v>5.0</v>
      </c>
      <c r="BA65" s="14">
        <v>4.0</v>
      </c>
      <c r="BB65" s="14">
        <v>3.0</v>
      </c>
      <c r="BC65" s="14">
        <v>2.0</v>
      </c>
      <c r="BD65" s="14">
        <v>2.0</v>
      </c>
      <c r="BE65" s="14">
        <v>5.0</v>
      </c>
      <c r="BF65" s="14">
        <v>4.0</v>
      </c>
      <c r="BG65" s="14">
        <v>3.0</v>
      </c>
      <c r="BH65" s="14">
        <v>4.0</v>
      </c>
      <c r="BI65" s="14">
        <v>3.0</v>
      </c>
      <c r="BJ65" s="14">
        <v>1.0</v>
      </c>
      <c r="BK65" s="14">
        <v>1.0</v>
      </c>
      <c r="BL65" s="14">
        <v>5.0</v>
      </c>
      <c r="BM65" s="14">
        <v>3.0</v>
      </c>
      <c r="BN65" s="14">
        <v>5.0</v>
      </c>
      <c r="BO65" s="14">
        <v>3.0</v>
      </c>
      <c r="BP65" s="14">
        <v>1.0</v>
      </c>
      <c r="BQ65" s="14">
        <v>4.0</v>
      </c>
      <c r="BR65" s="14">
        <v>5.0</v>
      </c>
      <c r="BS65" s="14">
        <v>3.0</v>
      </c>
      <c r="BT65" s="14">
        <v>3.0</v>
      </c>
      <c r="BU65" s="14">
        <v>2.0</v>
      </c>
      <c r="BV65" s="14">
        <v>2.0</v>
      </c>
      <c r="BW65" s="14">
        <v>4.0</v>
      </c>
      <c r="BX65" s="14">
        <v>3.0</v>
      </c>
      <c r="BY65" s="14">
        <v>3.0</v>
      </c>
      <c r="BZ65" s="14">
        <v>3.0</v>
      </c>
    </row>
    <row r="66" ht="22.5" customHeight="1">
      <c r="A66" s="13">
        <v>46248.40542465278</v>
      </c>
      <c r="B66" s="14" t="s">
        <v>162</v>
      </c>
      <c r="C66" s="14" t="s">
        <v>455</v>
      </c>
      <c r="D66" s="14">
        <v>2021.0</v>
      </c>
      <c r="E66" s="14" t="s">
        <v>365</v>
      </c>
      <c r="F66" s="14" t="s">
        <v>456</v>
      </c>
      <c r="G66" s="14">
        <v>3.0</v>
      </c>
      <c r="H66" s="14">
        <v>3.0</v>
      </c>
      <c r="I66" s="14">
        <v>4.0</v>
      </c>
      <c r="J66" s="14">
        <v>5.0</v>
      </c>
      <c r="K66" s="14">
        <v>5.0</v>
      </c>
      <c r="L66" s="14">
        <v>4.0</v>
      </c>
      <c r="M66" s="14">
        <v>1.0</v>
      </c>
      <c r="N66" s="14">
        <v>2.0</v>
      </c>
      <c r="O66" s="14">
        <v>3.0</v>
      </c>
      <c r="P66" s="14">
        <v>5.0</v>
      </c>
      <c r="Q66" s="14">
        <v>2.0</v>
      </c>
      <c r="R66" s="14">
        <v>5.0</v>
      </c>
      <c r="S66" s="14">
        <v>4.0</v>
      </c>
      <c r="T66" s="14">
        <v>3.0</v>
      </c>
      <c r="U66" s="14">
        <v>2.0</v>
      </c>
      <c r="V66" s="14">
        <v>5.0</v>
      </c>
      <c r="W66" s="14">
        <v>4.0</v>
      </c>
      <c r="X66" s="14">
        <v>4.0</v>
      </c>
      <c r="Y66" s="14">
        <v>3.0</v>
      </c>
      <c r="Z66" s="14">
        <v>3.0</v>
      </c>
      <c r="AA66" s="14">
        <v>4.0</v>
      </c>
      <c r="AB66" s="14">
        <v>5.0</v>
      </c>
      <c r="AC66" s="14">
        <v>5.0</v>
      </c>
      <c r="AD66" s="14">
        <v>2.0</v>
      </c>
      <c r="AE66" s="14">
        <v>2.0</v>
      </c>
      <c r="AF66" s="14">
        <v>3.0</v>
      </c>
      <c r="AG66" s="14">
        <v>3.0</v>
      </c>
      <c r="AH66" s="14">
        <v>5.0</v>
      </c>
      <c r="AI66" s="14">
        <v>3.0</v>
      </c>
      <c r="AJ66" s="14">
        <v>5.0</v>
      </c>
      <c r="AK66" s="14">
        <v>3.0</v>
      </c>
      <c r="AL66" s="14">
        <v>3.0</v>
      </c>
      <c r="AM66" s="14">
        <v>3.0</v>
      </c>
      <c r="AN66" s="14">
        <v>5.0</v>
      </c>
      <c r="AO66" s="14">
        <v>3.0</v>
      </c>
      <c r="AP66" s="14">
        <v>3.0</v>
      </c>
      <c r="AQ66" s="14">
        <v>4.0</v>
      </c>
      <c r="AR66" s="14">
        <v>3.0</v>
      </c>
      <c r="AS66" s="14">
        <v>3.0</v>
      </c>
      <c r="AT66" s="14">
        <v>5.0</v>
      </c>
      <c r="AU66" s="14">
        <v>5.0</v>
      </c>
      <c r="AV66" s="14">
        <v>5.0</v>
      </c>
      <c r="AW66" s="14">
        <v>3.0</v>
      </c>
      <c r="AX66" s="14">
        <v>4.0</v>
      </c>
      <c r="AY66" s="14">
        <v>3.0</v>
      </c>
      <c r="AZ66" s="14">
        <v>5.0</v>
      </c>
      <c r="BA66" s="14">
        <v>3.0</v>
      </c>
      <c r="BB66" s="14">
        <v>5.0</v>
      </c>
      <c r="BC66" s="14">
        <v>4.0</v>
      </c>
      <c r="BD66" s="14">
        <v>4.0</v>
      </c>
      <c r="BE66" s="14">
        <v>4.0</v>
      </c>
      <c r="BF66" s="14">
        <v>5.0</v>
      </c>
      <c r="BG66" s="14">
        <v>4.0</v>
      </c>
      <c r="BH66" s="14">
        <v>5.0</v>
      </c>
      <c r="BI66" s="14">
        <v>4.0</v>
      </c>
      <c r="BJ66" s="14">
        <v>4.0</v>
      </c>
      <c r="BK66" s="14">
        <v>4.0</v>
      </c>
      <c r="BL66" s="14">
        <v>4.0</v>
      </c>
      <c r="BM66" s="14">
        <v>4.0</v>
      </c>
      <c r="BN66" s="14">
        <v>5.0</v>
      </c>
      <c r="BO66" s="14">
        <v>4.0</v>
      </c>
      <c r="BP66" s="14">
        <v>3.0</v>
      </c>
      <c r="BQ66" s="14">
        <v>5.0</v>
      </c>
      <c r="BR66" s="14">
        <v>5.0</v>
      </c>
      <c r="BS66" s="14">
        <v>5.0</v>
      </c>
      <c r="BT66" s="14">
        <v>5.0</v>
      </c>
      <c r="BU66" s="14">
        <v>4.0</v>
      </c>
      <c r="BV66" s="14">
        <v>5.0</v>
      </c>
      <c r="BW66" s="14">
        <v>5.0</v>
      </c>
      <c r="BX66" s="14">
        <v>5.0</v>
      </c>
      <c r="BY66" s="14">
        <v>4.0</v>
      </c>
      <c r="BZ66" s="14">
        <v>5.0</v>
      </c>
    </row>
    <row r="67" ht="22.5" customHeight="1">
      <c r="A67" s="13">
        <v>46248.40542833333</v>
      </c>
      <c r="B67" s="14" t="s">
        <v>162</v>
      </c>
      <c r="C67" s="14" t="s">
        <v>460</v>
      </c>
      <c r="D67" s="14">
        <v>2026.0</v>
      </c>
      <c r="E67" s="14" t="s">
        <v>374</v>
      </c>
      <c r="F67" s="14" t="s">
        <v>461</v>
      </c>
      <c r="G67" s="14">
        <v>5.0</v>
      </c>
      <c r="H67" s="14">
        <v>5.0</v>
      </c>
      <c r="I67" s="14">
        <v>3.0</v>
      </c>
      <c r="J67" s="14">
        <v>5.0</v>
      </c>
      <c r="K67" s="14">
        <v>5.0</v>
      </c>
      <c r="L67" s="14">
        <v>4.0</v>
      </c>
      <c r="M67" s="14">
        <v>4.0</v>
      </c>
      <c r="N67" s="14">
        <v>3.0</v>
      </c>
      <c r="O67" s="14">
        <v>4.0</v>
      </c>
      <c r="P67" s="14">
        <v>5.0</v>
      </c>
      <c r="Q67" s="14">
        <v>5.0</v>
      </c>
      <c r="R67" s="14">
        <v>5.0</v>
      </c>
      <c r="S67" s="14">
        <v>5.0</v>
      </c>
      <c r="T67" s="14">
        <v>4.0</v>
      </c>
      <c r="U67" s="14">
        <v>2.0</v>
      </c>
      <c r="V67" s="14">
        <v>5.0</v>
      </c>
      <c r="W67" s="14">
        <v>5.0</v>
      </c>
      <c r="X67" s="14">
        <v>4.0</v>
      </c>
      <c r="Y67" s="14">
        <v>3.0</v>
      </c>
      <c r="Z67" s="14">
        <v>3.0</v>
      </c>
      <c r="AA67" s="14">
        <v>3.0</v>
      </c>
      <c r="AB67" s="14">
        <v>5.0</v>
      </c>
      <c r="AC67" s="14">
        <v>5.0</v>
      </c>
      <c r="AD67" s="14">
        <v>4.0</v>
      </c>
      <c r="AE67" s="14">
        <v>2.0</v>
      </c>
      <c r="AF67" s="14">
        <v>4.0</v>
      </c>
      <c r="AG67" s="14">
        <v>4.0</v>
      </c>
      <c r="AH67" s="14">
        <v>5.0</v>
      </c>
      <c r="AI67" s="14">
        <v>5.0</v>
      </c>
      <c r="AJ67" s="14">
        <v>5.0</v>
      </c>
      <c r="AK67" s="14">
        <v>5.0</v>
      </c>
      <c r="AL67" s="14">
        <v>4.0</v>
      </c>
      <c r="AM67" s="14">
        <v>2.0</v>
      </c>
      <c r="AN67" s="14">
        <v>4.0</v>
      </c>
      <c r="AO67" s="14">
        <v>4.0</v>
      </c>
      <c r="AP67" s="14">
        <v>3.0</v>
      </c>
      <c r="AQ67" s="14">
        <v>5.0</v>
      </c>
      <c r="AR67" s="14">
        <v>4.0</v>
      </c>
      <c r="AS67" s="14">
        <v>5.0</v>
      </c>
      <c r="AT67" s="14">
        <v>5.0</v>
      </c>
      <c r="AU67" s="14">
        <v>5.0</v>
      </c>
      <c r="AV67" s="14">
        <v>4.0</v>
      </c>
      <c r="AW67" s="14">
        <v>3.0</v>
      </c>
      <c r="AX67" s="14">
        <v>3.0</v>
      </c>
      <c r="AY67" s="14">
        <v>3.0</v>
      </c>
      <c r="AZ67" s="14">
        <v>4.0</v>
      </c>
      <c r="BA67" s="14">
        <v>5.0</v>
      </c>
      <c r="BB67" s="14">
        <v>4.0</v>
      </c>
      <c r="BC67" s="14">
        <v>5.0</v>
      </c>
      <c r="BD67" s="14">
        <v>5.0</v>
      </c>
      <c r="BE67" s="14">
        <v>2.0</v>
      </c>
      <c r="BF67" s="14">
        <v>5.0</v>
      </c>
      <c r="BG67" s="14">
        <v>5.0</v>
      </c>
      <c r="BH67" s="14">
        <v>5.0</v>
      </c>
      <c r="BI67" s="14">
        <v>4.0</v>
      </c>
      <c r="BJ67" s="14">
        <v>4.0</v>
      </c>
      <c r="BK67" s="14">
        <v>4.0</v>
      </c>
      <c r="BL67" s="14">
        <v>4.0</v>
      </c>
      <c r="BM67" s="14">
        <v>5.0</v>
      </c>
      <c r="BN67" s="14">
        <v>4.0</v>
      </c>
      <c r="BO67" s="14">
        <v>5.0</v>
      </c>
      <c r="BP67" s="14">
        <v>3.0</v>
      </c>
      <c r="BQ67" s="14">
        <v>4.0</v>
      </c>
      <c r="BR67" s="14">
        <v>5.0</v>
      </c>
      <c r="BS67" s="14">
        <v>5.0</v>
      </c>
      <c r="BT67" s="14">
        <v>5.0</v>
      </c>
      <c r="BU67" s="14">
        <v>5.0</v>
      </c>
      <c r="BV67" s="14">
        <v>4.0</v>
      </c>
      <c r="BW67" s="14">
        <v>5.0</v>
      </c>
      <c r="BX67" s="14">
        <v>5.0</v>
      </c>
      <c r="BY67" s="14">
        <v>5.0</v>
      </c>
      <c r="BZ67" s="14">
        <v>4.0</v>
      </c>
    </row>
    <row r="68" ht="22.5" customHeight="1">
      <c r="A68" s="13">
        <v>46248.40551353009</v>
      </c>
      <c r="B68" s="14" t="s">
        <v>162</v>
      </c>
      <c r="C68" s="14" t="s">
        <v>464</v>
      </c>
      <c r="D68" s="14">
        <v>2022.0</v>
      </c>
      <c r="E68" s="14" t="s">
        <v>189</v>
      </c>
      <c r="F68" s="14" t="s">
        <v>465</v>
      </c>
      <c r="G68" s="14">
        <v>5.0</v>
      </c>
      <c r="H68" s="14">
        <v>5.0</v>
      </c>
      <c r="I68" s="14">
        <v>5.0</v>
      </c>
      <c r="J68" s="14">
        <v>4.0</v>
      </c>
      <c r="K68" s="14">
        <v>4.0</v>
      </c>
      <c r="L68" s="14">
        <v>4.0</v>
      </c>
      <c r="M68" s="14">
        <v>4.0</v>
      </c>
      <c r="N68" s="14">
        <v>3.0</v>
      </c>
      <c r="O68" s="14">
        <v>3.0</v>
      </c>
      <c r="P68" s="14">
        <v>5.0</v>
      </c>
      <c r="Q68" s="14">
        <v>4.0</v>
      </c>
      <c r="R68" s="14">
        <v>4.0</v>
      </c>
      <c r="S68" s="14">
        <v>2.0</v>
      </c>
      <c r="T68" s="14">
        <v>3.0</v>
      </c>
      <c r="U68" s="14">
        <v>4.0</v>
      </c>
      <c r="V68" s="14">
        <v>4.0</v>
      </c>
      <c r="W68" s="14">
        <v>4.0</v>
      </c>
      <c r="X68" s="14">
        <v>2.0</v>
      </c>
      <c r="Y68" s="14">
        <v>2.0</v>
      </c>
      <c r="Z68" s="14">
        <v>5.0</v>
      </c>
      <c r="AA68" s="14">
        <v>4.0</v>
      </c>
      <c r="AB68" s="14">
        <v>4.0</v>
      </c>
      <c r="AC68" s="14">
        <v>2.0</v>
      </c>
      <c r="AD68" s="14">
        <v>2.0</v>
      </c>
      <c r="AE68" s="14">
        <v>1.0</v>
      </c>
      <c r="AF68" s="14">
        <v>4.0</v>
      </c>
      <c r="AG68" s="14">
        <v>4.0</v>
      </c>
      <c r="AH68" s="14">
        <v>4.0</v>
      </c>
      <c r="AI68" s="14">
        <v>4.0</v>
      </c>
      <c r="AJ68" s="14">
        <v>4.0</v>
      </c>
      <c r="AK68" s="14">
        <v>4.0</v>
      </c>
      <c r="AL68" s="14">
        <v>4.0</v>
      </c>
      <c r="AM68" s="14">
        <v>4.0</v>
      </c>
      <c r="AN68" s="14">
        <v>4.0</v>
      </c>
      <c r="AO68" s="14">
        <v>2.0</v>
      </c>
      <c r="AP68" s="14">
        <v>1.0</v>
      </c>
      <c r="AQ68" s="14">
        <v>4.0</v>
      </c>
      <c r="AR68" s="14">
        <v>4.0</v>
      </c>
      <c r="AS68" s="14">
        <v>4.0</v>
      </c>
      <c r="AT68" s="14">
        <v>5.0</v>
      </c>
      <c r="AU68" s="14">
        <v>5.0</v>
      </c>
      <c r="AV68" s="14">
        <v>4.0</v>
      </c>
      <c r="AW68" s="14">
        <v>4.0</v>
      </c>
      <c r="AX68" s="14">
        <v>4.0</v>
      </c>
      <c r="AY68" s="14">
        <v>2.0</v>
      </c>
      <c r="AZ68" s="14">
        <v>4.0</v>
      </c>
      <c r="BA68" s="14">
        <v>5.0</v>
      </c>
      <c r="BB68" s="14">
        <v>3.0</v>
      </c>
      <c r="BC68" s="14">
        <v>5.0</v>
      </c>
      <c r="BD68" s="14">
        <v>5.0</v>
      </c>
      <c r="BE68" s="14">
        <v>5.0</v>
      </c>
      <c r="BF68" s="14">
        <v>5.0</v>
      </c>
      <c r="BG68" s="14">
        <v>5.0</v>
      </c>
      <c r="BH68" s="14">
        <v>5.0</v>
      </c>
      <c r="BI68" s="14">
        <v>3.0</v>
      </c>
      <c r="BJ68" s="14">
        <v>5.0</v>
      </c>
      <c r="BK68" s="14">
        <v>4.0</v>
      </c>
      <c r="BL68" s="14">
        <v>4.0</v>
      </c>
      <c r="BM68" s="14">
        <v>5.0</v>
      </c>
      <c r="BN68" s="14">
        <v>3.0</v>
      </c>
      <c r="BO68" s="14">
        <v>3.0</v>
      </c>
      <c r="BP68" s="14">
        <v>2.0</v>
      </c>
      <c r="BQ68" s="14">
        <v>2.0</v>
      </c>
      <c r="BR68" s="14">
        <v>5.0</v>
      </c>
      <c r="BS68" s="14">
        <v>5.0</v>
      </c>
      <c r="BT68" s="14">
        <v>3.0</v>
      </c>
      <c r="BU68" s="14">
        <v>4.0</v>
      </c>
      <c r="BV68" s="14">
        <v>4.0</v>
      </c>
      <c r="BW68" s="14">
        <v>4.0</v>
      </c>
      <c r="BX68" s="14">
        <v>4.0</v>
      </c>
      <c r="BY68" s="14">
        <v>4.0</v>
      </c>
      <c r="BZ68" s="14">
        <v>2.0</v>
      </c>
    </row>
    <row r="69" ht="22.5" customHeight="1">
      <c r="A69" s="13">
        <v>46248.40557471065</v>
      </c>
      <c r="B69" s="14" t="s">
        <v>162</v>
      </c>
      <c r="C69" s="14" t="s">
        <v>468</v>
      </c>
      <c r="D69" s="14">
        <v>2025.0</v>
      </c>
      <c r="F69" s="14" t="s">
        <v>469</v>
      </c>
      <c r="G69" s="14">
        <v>3.0</v>
      </c>
      <c r="H69" s="14">
        <v>3.0</v>
      </c>
      <c r="I69" s="14">
        <v>2.0</v>
      </c>
      <c r="J69" s="14">
        <v>5.0</v>
      </c>
      <c r="K69" s="14">
        <v>5.0</v>
      </c>
      <c r="L69" s="14">
        <v>4.0</v>
      </c>
      <c r="M69" s="14">
        <v>2.0</v>
      </c>
      <c r="N69" s="14">
        <v>5.0</v>
      </c>
      <c r="O69" s="14">
        <v>4.0</v>
      </c>
      <c r="P69" s="14">
        <v>4.0</v>
      </c>
      <c r="Q69" s="14">
        <v>5.0</v>
      </c>
      <c r="R69" s="14">
        <v>4.0</v>
      </c>
      <c r="S69" s="14">
        <v>3.0</v>
      </c>
      <c r="T69" s="14">
        <v>5.0</v>
      </c>
      <c r="U69" s="14">
        <v>2.0</v>
      </c>
      <c r="V69" s="14">
        <v>4.0</v>
      </c>
      <c r="W69" s="14">
        <v>5.0</v>
      </c>
      <c r="X69" s="14">
        <v>4.0</v>
      </c>
      <c r="Y69" s="14">
        <v>2.0</v>
      </c>
      <c r="Z69" s="14">
        <v>5.0</v>
      </c>
      <c r="AA69" s="14">
        <v>5.0</v>
      </c>
      <c r="AB69" s="14">
        <v>5.0</v>
      </c>
      <c r="AC69" s="14">
        <v>5.0</v>
      </c>
      <c r="AD69" s="14">
        <v>4.0</v>
      </c>
      <c r="AE69" s="14">
        <v>2.0</v>
      </c>
      <c r="AF69" s="14">
        <v>5.0</v>
      </c>
      <c r="AG69" s="14">
        <v>3.0</v>
      </c>
      <c r="AH69" s="14">
        <v>5.0</v>
      </c>
      <c r="AI69" s="14">
        <v>5.0</v>
      </c>
      <c r="AJ69" s="14">
        <v>4.0</v>
      </c>
      <c r="AK69" s="14">
        <v>4.0</v>
      </c>
      <c r="AL69" s="14">
        <v>5.0</v>
      </c>
      <c r="AM69" s="14">
        <v>2.0</v>
      </c>
      <c r="AN69" s="14">
        <v>4.0</v>
      </c>
      <c r="AO69" s="14">
        <v>5.0</v>
      </c>
      <c r="AP69" s="14">
        <v>5.0</v>
      </c>
      <c r="AQ69" s="14">
        <v>4.0</v>
      </c>
      <c r="AR69" s="14">
        <v>4.0</v>
      </c>
      <c r="AS69" s="14">
        <v>5.0</v>
      </c>
      <c r="AT69" s="14">
        <v>5.0</v>
      </c>
      <c r="AU69" s="14">
        <v>5.0</v>
      </c>
      <c r="AV69" s="14">
        <v>4.0</v>
      </c>
      <c r="AW69" s="14">
        <v>2.0</v>
      </c>
      <c r="AX69" s="14">
        <v>5.0</v>
      </c>
      <c r="AY69" s="14">
        <v>4.0</v>
      </c>
      <c r="AZ69" s="14">
        <v>4.0</v>
      </c>
      <c r="BA69" s="14">
        <v>5.0</v>
      </c>
      <c r="BB69" s="14">
        <v>5.0</v>
      </c>
      <c r="BC69" s="14">
        <v>4.0</v>
      </c>
      <c r="BD69" s="14">
        <v>4.0</v>
      </c>
      <c r="BE69" s="14">
        <v>2.0</v>
      </c>
      <c r="BF69" s="14">
        <v>5.0</v>
      </c>
      <c r="BG69" s="14">
        <v>5.0</v>
      </c>
      <c r="BH69" s="14">
        <v>5.0</v>
      </c>
      <c r="BI69" s="14">
        <v>5.0</v>
      </c>
      <c r="BJ69" s="14">
        <v>5.0</v>
      </c>
      <c r="BK69" s="14">
        <v>4.0</v>
      </c>
      <c r="BL69" s="14">
        <v>5.0</v>
      </c>
      <c r="BM69" s="14">
        <v>5.0</v>
      </c>
      <c r="BN69" s="14">
        <v>5.0</v>
      </c>
      <c r="BO69" s="14">
        <v>5.0</v>
      </c>
      <c r="BP69" s="14">
        <v>5.0</v>
      </c>
      <c r="BQ69" s="14">
        <v>5.0</v>
      </c>
      <c r="BR69" s="14">
        <v>5.0</v>
      </c>
      <c r="BS69" s="14">
        <v>5.0</v>
      </c>
      <c r="BT69" s="14">
        <v>4.0</v>
      </c>
      <c r="BU69" s="14">
        <v>4.0</v>
      </c>
      <c r="BV69" s="14">
        <v>5.0</v>
      </c>
      <c r="BW69" s="14">
        <v>5.0</v>
      </c>
      <c r="BX69" s="14">
        <v>4.0</v>
      </c>
      <c r="BY69" s="14">
        <v>5.0</v>
      </c>
      <c r="BZ69" s="14">
        <v>5.0</v>
      </c>
    </row>
    <row r="70" ht="22.5" customHeight="1">
      <c r="A70" s="13">
        <v>46248.40561609954</v>
      </c>
      <c r="B70" s="14" t="s">
        <v>162</v>
      </c>
      <c r="C70" s="14" t="s">
        <v>472</v>
      </c>
      <c r="D70" s="14">
        <v>2024.0</v>
      </c>
      <c r="E70" s="14" t="s">
        <v>173</v>
      </c>
      <c r="F70" s="14" t="s">
        <v>473</v>
      </c>
      <c r="G70" s="14">
        <v>1.0</v>
      </c>
      <c r="H70" s="14">
        <v>2.0</v>
      </c>
      <c r="I70" s="14">
        <v>2.0</v>
      </c>
      <c r="J70" s="14">
        <v>3.0</v>
      </c>
      <c r="K70" s="14">
        <v>3.0</v>
      </c>
      <c r="L70" s="14">
        <v>3.0</v>
      </c>
      <c r="M70" s="14">
        <v>2.0</v>
      </c>
      <c r="N70" s="14">
        <v>2.0</v>
      </c>
      <c r="O70" s="14">
        <v>2.0</v>
      </c>
      <c r="P70" s="14">
        <v>4.0</v>
      </c>
      <c r="Q70" s="14">
        <v>3.0</v>
      </c>
      <c r="R70" s="14">
        <v>5.0</v>
      </c>
      <c r="S70" s="14">
        <v>3.0</v>
      </c>
      <c r="T70" s="14">
        <v>3.0</v>
      </c>
      <c r="U70" s="14">
        <v>3.0</v>
      </c>
      <c r="V70" s="14">
        <v>5.0</v>
      </c>
      <c r="W70" s="14">
        <v>5.0</v>
      </c>
      <c r="X70" s="14">
        <v>2.0</v>
      </c>
      <c r="Y70" s="14">
        <v>2.0</v>
      </c>
      <c r="Z70" s="14">
        <v>2.0</v>
      </c>
      <c r="AA70" s="14">
        <v>2.0</v>
      </c>
      <c r="AB70" s="14">
        <v>4.0</v>
      </c>
      <c r="AC70" s="14">
        <v>4.0</v>
      </c>
      <c r="AD70" s="14">
        <v>3.0</v>
      </c>
      <c r="AE70" s="14">
        <v>1.0</v>
      </c>
      <c r="AF70" s="14">
        <v>3.0</v>
      </c>
      <c r="AG70" s="14">
        <v>3.0</v>
      </c>
      <c r="AH70" s="14">
        <v>5.0</v>
      </c>
      <c r="AI70" s="14">
        <v>4.0</v>
      </c>
      <c r="AJ70" s="14">
        <v>5.0</v>
      </c>
      <c r="AK70" s="14">
        <v>3.0</v>
      </c>
      <c r="AL70" s="14">
        <v>4.0</v>
      </c>
      <c r="AM70" s="14">
        <v>4.0</v>
      </c>
      <c r="AN70" s="14">
        <v>5.0</v>
      </c>
      <c r="AO70" s="14">
        <v>3.0</v>
      </c>
      <c r="AP70" s="14">
        <v>1.0</v>
      </c>
      <c r="AQ70" s="14">
        <v>2.0</v>
      </c>
      <c r="AR70" s="14">
        <v>3.0</v>
      </c>
      <c r="AS70" s="14">
        <v>4.0</v>
      </c>
      <c r="AT70" s="14">
        <v>5.0</v>
      </c>
      <c r="AU70" s="14">
        <v>4.0</v>
      </c>
      <c r="AV70" s="14">
        <v>4.0</v>
      </c>
      <c r="AW70" s="14">
        <v>2.0</v>
      </c>
      <c r="AX70" s="14">
        <v>2.0</v>
      </c>
      <c r="AY70" s="14">
        <v>3.0</v>
      </c>
      <c r="AZ70" s="14">
        <v>5.0</v>
      </c>
      <c r="BA70" s="14">
        <v>5.0</v>
      </c>
      <c r="BB70" s="14">
        <v>4.0</v>
      </c>
      <c r="BC70" s="14">
        <v>4.0</v>
      </c>
      <c r="BD70" s="14">
        <v>4.0</v>
      </c>
      <c r="BE70" s="14">
        <v>3.0</v>
      </c>
      <c r="BF70" s="14">
        <v>5.0</v>
      </c>
      <c r="BG70" s="14">
        <v>5.0</v>
      </c>
      <c r="BH70" s="14">
        <v>5.0</v>
      </c>
      <c r="BI70" s="14">
        <v>4.0</v>
      </c>
      <c r="BJ70" s="14">
        <v>4.0</v>
      </c>
      <c r="BK70" s="14">
        <v>4.0</v>
      </c>
      <c r="BL70" s="14">
        <v>5.0</v>
      </c>
      <c r="BM70" s="14">
        <v>5.0</v>
      </c>
      <c r="BN70" s="14">
        <v>5.0</v>
      </c>
      <c r="BO70" s="14">
        <v>4.0</v>
      </c>
      <c r="BP70" s="14">
        <v>3.0</v>
      </c>
      <c r="BQ70" s="14">
        <v>4.0</v>
      </c>
      <c r="BR70" s="14">
        <v>5.0</v>
      </c>
      <c r="BS70" s="14">
        <v>5.0</v>
      </c>
      <c r="BT70" s="14">
        <v>5.0</v>
      </c>
      <c r="BU70" s="14">
        <v>5.0</v>
      </c>
      <c r="BV70" s="14">
        <v>4.0</v>
      </c>
      <c r="BW70" s="14">
        <v>5.0</v>
      </c>
      <c r="BX70" s="14">
        <v>5.0</v>
      </c>
      <c r="BY70" s="14">
        <v>5.0</v>
      </c>
      <c r="BZ70" s="14">
        <v>5.0</v>
      </c>
    </row>
    <row r="71" ht="22.5" customHeight="1">
      <c r="A71" s="13">
        <v>46248.40565940972</v>
      </c>
      <c r="B71" s="14" t="s">
        <v>162</v>
      </c>
      <c r="C71" s="14" t="s">
        <v>476</v>
      </c>
      <c r="D71" s="14">
        <v>2022.0</v>
      </c>
      <c r="E71" s="14" t="s">
        <v>173</v>
      </c>
      <c r="F71" s="14" t="s">
        <v>477</v>
      </c>
      <c r="G71" s="14">
        <v>1.0</v>
      </c>
      <c r="H71" s="14">
        <v>1.0</v>
      </c>
      <c r="I71" s="14">
        <v>1.0</v>
      </c>
      <c r="J71" s="14">
        <v>1.0</v>
      </c>
      <c r="K71" s="14">
        <v>3.0</v>
      </c>
      <c r="L71" s="14">
        <v>3.0</v>
      </c>
      <c r="M71" s="14">
        <v>1.0</v>
      </c>
      <c r="N71" s="14">
        <v>1.0</v>
      </c>
      <c r="O71" s="14">
        <v>1.0</v>
      </c>
      <c r="P71" s="14">
        <v>3.0</v>
      </c>
      <c r="Q71" s="14">
        <v>3.0</v>
      </c>
      <c r="R71" s="14">
        <v>3.0</v>
      </c>
      <c r="S71" s="14">
        <v>5.0</v>
      </c>
      <c r="T71" s="14">
        <v>5.0</v>
      </c>
      <c r="U71" s="14">
        <v>1.0</v>
      </c>
      <c r="V71" s="14">
        <v>4.0</v>
      </c>
      <c r="W71" s="14">
        <v>4.0</v>
      </c>
      <c r="X71" s="14">
        <v>3.0</v>
      </c>
      <c r="Y71" s="14">
        <v>4.0</v>
      </c>
      <c r="Z71" s="14">
        <v>3.0</v>
      </c>
      <c r="AA71" s="14">
        <v>4.0</v>
      </c>
      <c r="AB71" s="14">
        <v>4.0</v>
      </c>
      <c r="AC71" s="14">
        <v>4.0</v>
      </c>
      <c r="AD71" s="14">
        <v>3.0</v>
      </c>
      <c r="AE71" s="14">
        <v>1.0</v>
      </c>
      <c r="AF71" s="14">
        <v>3.0</v>
      </c>
      <c r="AG71" s="14">
        <v>3.0</v>
      </c>
      <c r="AH71" s="14">
        <v>5.0</v>
      </c>
      <c r="AI71" s="14">
        <v>5.0</v>
      </c>
      <c r="AJ71" s="14">
        <v>4.0</v>
      </c>
      <c r="AK71" s="14">
        <v>4.0</v>
      </c>
      <c r="AL71" s="14">
        <v>4.0</v>
      </c>
      <c r="AM71" s="14">
        <v>1.0</v>
      </c>
      <c r="AN71" s="14">
        <v>4.0</v>
      </c>
      <c r="AO71" s="14">
        <v>3.0</v>
      </c>
      <c r="AP71" s="14">
        <v>2.0</v>
      </c>
      <c r="AQ71" s="14">
        <v>5.0</v>
      </c>
      <c r="AR71" s="14">
        <v>3.0</v>
      </c>
      <c r="AS71" s="14">
        <v>4.0</v>
      </c>
      <c r="AT71" s="14">
        <v>4.0</v>
      </c>
      <c r="AU71" s="14">
        <v>4.0</v>
      </c>
      <c r="AV71" s="14">
        <v>4.0</v>
      </c>
      <c r="AW71" s="14">
        <v>3.0</v>
      </c>
      <c r="AX71" s="14">
        <v>4.0</v>
      </c>
      <c r="AY71" s="14">
        <v>4.0</v>
      </c>
      <c r="AZ71" s="14">
        <v>4.0</v>
      </c>
      <c r="BA71" s="14">
        <v>4.0</v>
      </c>
      <c r="BB71" s="14">
        <v>4.0</v>
      </c>
      <c r="BC71" s="14">
        <v>4.0</v>
      </c>
      <c r="BD71" s="14">
        <v>4.0</v>
      </c>
      <c r="BE71" s="14">
        <v>2.0</v>
      </c>
      <c r="BF71" s="14">
        <v>4.0</v>
      </c>
      <c r="BG71" s="14">
        <v>4.0</v>
      </c>
      <c r="BH71" s="14">
        <v>4.0</v>
      </c>
      <c r="BI71" s="14">
        <v>3.0</v>
      </c>
      <c r="BJ71" s="14">
        <v>4.0</v>
      </c>
      <c r="BK71" s="14">
        <v>3.0</v>
      </c>
      <c r="BL71" s="14">
        <v>4.0</v>
      </c>
      <c r="BM71" s="14">
        <v>4.0</v>
      </c>
      <c r="BN71" s="14">
        <v>4.0</v>
      </c>
      <c r="BO71" s="14">
        <v>4.0</v>
      </c>
      <c r="BP71" s="14">
        <v>2.0</v>
      </c>
      <c r="BQ71" s="14">
        <v>4.0</v>
      </c>
      <c r="BR71" s="14">
        <v>4.0</v>
      </c>
      <c r="BS71" s="14">
        <v>4.0</v>
      </c>
      <c r="BT71" s="14">
        <v>4.0</v>
      </c>
      <c r="BU71" s="14">
        <v>4.0</v>
      </c>
      <c r="BV71" s="14">
        <v>4.0</v>
      </c>
      <c r="BW71" s="14">
        <v>4.0</v>
      </c>
      <c r="BX71" s="14">
        <v>4.0</v>
      </c>
      <c r="BY71" s="14">
        <v>4.0</v>
      </c>
      <c r="BZ71" s="14">
        <v>4.0</v>
      </c>
    </row>
    <row r="72" ht="22.5" customHeight="1">
      <c r="A72" s="13">
        <v>46248.405668692125</v>
      </c>
      <c r="B72" s="14" t="s">
        <v>162</v>
      </c>
      <c r="C72" s="14" t="s">
        <v>480</v>
      </c>
      <c r="D72" s="14">
        <v>2022.0</v>
      </c>
      <c r="E72" s="14" t="s">
        <v>189</v>
      </c>
      <c r="F72" s="14" t="s">
        <v>481</v>
      </c>
      <c r="G72" s="14">
        <v>4.0</v>
      </c>
      <c r="H72" s="14">
        <v>3.0</v>
      </c>
      <c r="I72" s="14">
        <v>2.0</v>
      </c>
      <c r="J72" s="14">
        <v>4.0</v>
      </c>
      <c r="K72" s="14">
        <v>5.0</v>
      </c>
      <c r="L72" s="14">
        <v>3.0</v>
      </c>
      <c r="M72" s="14">
        <v>4.0</v>
      </c>
      <c r="N72" s="14">
        <v>2.0</v>
      </c>
      <c r="O72" s="14">
        <v>3.0</v>
      </c>
      <c r="P72" s="14">
        <v>4.0</v>
      </c>
      <c r="Q72" s="14">
        <v>3.0</v>
      </c>
      <c r="R72" s="14">
        <v>3.0</v>
      </c>
      <c r="S72" s="14">
        <v>4.0</v>
      </c>
      <c r="T72" s="14">
        <v>3.0</v>
      </c>
      <c r="U72" s="14">
        <v>2.0</v>
      </c>
      <c r="V72" s="14">
        <v>2.0</v>
      </c>
      <c r="W72" s="14">
        <v>4.0</v>
      </c>
      <c r="X72" s="14">
        <v>2.0</v>
      </c>
      <c r="Y72" s="14">
        <v>2.0</v>
      </c>
      <c r="Z72" s="14">
        <v>4.0</v>
      </c>
      <c r="AA72" s="14">
        <v>2.0</v>
      </c>
      <c r="AB72" s="14">
        <v>4.0</v>
      </c>
      <c r="AC72" s="14">
        <v>3.0</v>
      </c>
      <c r="AD72" s="14">
        <v>3.0</v>
      </c>
      <c r="AE72" s="14">
        <v>1.0</v>
      </c>
      <c r="AF72" s="14">
        <v>3.0</v>
      </c>
      <c r="AG72" s="14">
        <v>2.0</v>
      </c>
      <c r="AH72" s="14">
        <v>4.0</v>
      </c>
      <c r="AI72" s="14">
        <v>4.0</v>
      </c>
      <c r="AJ72" s="14">
        <v>3.0</v>
      </c>
      <c r="AK72" s="14">
        <v>3.0</v>
      </c>
      <c r="AL72" s="14">
        <v>4.0</v>
      </c>
      <c r="AM72" s="14">
        <v>2.0</v>
      </c>
      <c r="AN72" s="14">
        <v>4.0</v>
      </c>
      <c r="AO72" s="14">
        <v>4.0</v>
      </c>
      <c r="AP72" s="14">
        <v>1.0</v>
      </c>
      <c r="AQ72" s="14">
        <v>4.0</v>
      </c>
      <c r="AR72" s="14">
        <v>2.0</v>
      </c>
      <c r="AS72" s="14">
        <v>3.0</v>
      </c>
      <c r="AT72" s="14">
        <v>4.0</v>
      </c>
      <c r="AU72" s="14">
        <v>4.0</v>
      </c>
      <c r="AV72" s="14">
        <v>5.0</v>
      </c>
      <c r="AW72" s="14">
        <v>2.0</v>
      </c>
      <c r="AX72" s="14">
        <v>2.0</v>
      </c>
      <c r="AY72" s="14">
        <v>3.0</v>
      </c>
      <c r="AZ72" s="14">
        <v>4.0</v>
      </c>
      <c r="BA72" s="14">
        <v>4.0</v>
      </c>
      <c r="BB72" s="14">
        <v>4.0</v>
      </c>
      <c r="BC72" s="14">
        <v>4.0</v>
      </c>
      <c r="BD72" s="14">
        <v>4.0</v>
      </c>
      <c r="BE72" s="14">
        <v>2.0</v>
      </c>
      <c r="BF72" s="14">
        <v>4.0</v>
      </c>
      <c r="BG72" s="14">
        <v>4.0</v>
      </c>
      <c r="BH72" s="14">
        <v>4.0</v>
      </c>
      <c r="BI72" s="14">
        <v>3.0</v>
      </c>
      <c r="BJ72" s="14">
        <v>4.0</v>
      </c>
      <c r="BK72" s="14">
        <v>3.0</v>
      </c>
      <c r="BL72" s="14">
        <v>4.0</v>
      </c>
      <c r="BM72" s="14">
        <v>4.0</v>
      </c>
      <c r="BN72" s="14">
        <v>4.0</v>
      </c>
      <c r="BO72" s="14">
        <v>2.0</v>
      </c>
      <c r="BP72" s="14">
        <v>3.0</v>
      </c>
      <c r="BQ72" s="14">
        <v>4.0</v>
      </c>
      <c r="BR72" s="14">
        <v>4.0</v>
      </c>
      <c r="BS72" s="14">
        <v>4.0</v>
      </c>
      <c r="BT72" s="14">
        <v>4.0</v>
      </c>
      <c r="BU72" s="14">
        <v>4.0</v>
      </c>
      <c r="BV72" s="14">
        <v>3.0</v>
      </c>
      <c r="BW72" s="14">
        <v>3.0</v>
      </c>
      <c r="BX72" s="14">
        <v>4.0</v>
      </c>
      <c r="BY72" s="14">
        <v>3.0</v>
      </c>
      <c r="BZ72" s="14">
        <v>4.0</v>
      </c>
    </row>
    <row r="73" ht="22.5" customHeight="1">
      <c r="A73" s="13">
        <v>46248.40568596065</v>
      </c>
      <c r="B73" s="14" t="s">
        <v>162</v>
      </c>
      <c r="C73" s="14" t="s">
        <v>484</v>
      </c>
      <c r="D73" s="14">
        <v>2023.0</v>
      </c>
      <c r="E73" s="14" t="s">
        <v>356</v>
      </c>
      <c r="F73" s="14" t="s">
        <v>485</v>
      </c>
      <c r="G73" s="14">
        <v>3.0</v>
      </c>
      <c r="H73" s="14">
        <v>3.0</v>
      </c>
      <c r="I73" s="14">
        <v>1.0</v>
      </c>
      <c r="J73" s="14">
        <v>3.0</v>
      </c>
      <c r="K73" s="14">
        <v>3.0</v>
      </c>
      <c r="L73" s="14">
        <v>1.0</v>
      </c>
      <c r="M73" s="14">
        <v>3.0</v>
      </c>
      <c r="N73" s="14">
        <v>1.0</v>
      </c>
      <c r="O73" s="14">
        <v>1.0</v>
      </c>
      <c r="P73" s="14">
        <v>3.0</v>
      </c>
      <c r="Q73" s="14">
        <v>3.0</v>
      </c>
      <c r="R73" s="14">
        <v>4.0</v>
      </c>
      <c r="S73" s="14">
        <v>4.0</v>
      </c>
      <c r="T73" s="14">
        <v>5.0</v>
      </c>
      <c r="U73" s="14">
        <v>1.0</v>
      </c>
      <c r="V73" s="14">
        <v>4.0</v>
      </c>
      <c r="W73" s="14">
        <v>4.0</v>
      </c>
      <c r="X73" s="14">
        <v>2.0</v>
      </c>
      <c r="Y73" s="14">
        <v>4.0</v>
      </c>
      <c r="Z73" s="14">
        <v>4.0</v>
      </c>
      <c r="AA73" s="14">
        <v>2.0</v>
      </c>
      <c r="AB73" s="14">
        <v>4.0</v>
      </c>
      <c r="AC73" s="14">
        <v>4.0</v>
      </c>
      <c r="AD73" s="14">
        <v>2.0</v>
      </c>
      <c r="AE73" s="14">
        <v>3.0</v>
      </c>
      <c r="AF73" s="14">
        <v>3.0</v>
      </c>
      <c r="AG73" s="14">
        <v>4.0</v>
      </c>
      <c r="AH73" s="14">
        <v>4.0</v>
      </c>
      <c r="AI73" s="14">
        <v>4.0</v>
      </c>
      <c r="AJ73" s="14">
        <v>4.0</v>
      </c>
      <c r="AK73" s="14">
        <v>4.0</v>
      </c>
      <c r="AL73" s="14">
        <v>4.0</v>
      </c>
      <c r="AM73" s="14">
        <v>2.0</v>
      </c>
      <c r="AN73" s="14">
        <v>4.0</v>
      </c>
      <c r="AO73" s="14">
        <v>4.0</v>
      </c>
      <c r="AP73" s="14">
        <v>4.0</v>
      </c>
      <c r="AQ73" s="14">
        <v>5.0</v>
      </c>
      <c r="AR73" s="14">
        <v>4.0</v>
      </c>
      <c r="AS73" s="14">
        <v>5.0</v>
      </c>
      <c r="AT73" s="14">
        <v>5.0</v>
      </c>
      <c r="AU73" s="14">
        <v>5.0</v>
      </c>
      <c r="AV73" s="14">
        <v>4.0</v>
      </c>
      <c r="AW73" s="14">
        <v>3.0</v>
      </c>
      <c r="AX73" s="14">
        <v>3.0</v>
      </c>
      <c r="AY73" s="14">
        <v>5.0</v>
      </c>
      <c r="AZ73" s="14">
        <v>4.0</v>
      </c>
      <c r="BA73" s="14">
        <v>4.0</v>
      </c>
      <c r="BB73" s="14">
        <v>4.0</v>
      </c>
      <c r="BC73" s="14">
        <v>5.0</v>
      </c>
      <c r="BD73" s="14">
        <v>3.0</v>
      </c>
      <c r="BE73" s="14">
        <v>2.0</v>
      </c>
      <c r="BF73" s="14">
        <v>5.0</v>
      </c>
      <c r="BG73" s="14">
        <v>5.0</v>
      </c>
      <c r="BH73" s="14">
        <v>3.0</v>
      </c>
      <c r="BI73" s="14">
        <v>3.0</v>
      </c>
      <c r="BJ73" s="14">
        <v>4.0</v>
      </c>
      <c r="BK73" s="14">
        <v>4.0</v>
      </c>
      <c r="BL73" s="14">
        <v>4.0</v>
      </c>
      <c r="BM73" s="14">
        <v>4.0</v>
      </c>
      <c r="BN73" s="14">
        <v>3.0</v>
      </c>
      <c r="BO73" s="14">
        <v>3.0</v>
      </c>
      <c r="BP73" s="14">
        <v>4.0</v>
      </c>
      <c r="BQ73" s="14">
        <v>4.0</v>
      </c>
      <c r="BR73" s="14">
        <v>5.0</v>
      </c>
      <c r="BS73" s="14">
        <v>5.0</v>
      </c>
      <c r="BT73" s="14">
        <v>5.0</v>
      </c>
      <c r="BU73" s="14">
        <v>3.0</v>
      </c>
      <c r="BV73" s="14">
        <v>4.0</v>
      </c>
      <c r="BW73" s="14">
        <v>4.0</v>
      </c>
      <c r="BX73" s="14">
        <v>3.0</v>
      </c>
      <c r="BY73" s="14">
        <v>3.0</v>
      </c>
      <c r="BZ73" s="14">
        <v>5.0</v>
      </c>
    </row>
    <row r="74" ht="22.5" customHeight="1">
      <c r="A74" s="13">
        <v>46248.4057212037</v>
      </c>
      <c r="B74" s="14" t="s">
        <v>162</v>
      </c>
      <c r="C74" s="14" t="s">
        <v>488</v>
      </c>
      <c r="D74" s="14">
        <v>2026.0</v>
      </c>
      <c r="E74" s="14" t="s">
        <v>277</v>
      </c>
      <c r="F74" s="14" t="s">
        <v>489</v>
      </c>
      <c r="G74" s="14">
        <v>4.0</v>
      </c>
      <c r="H74" s="14">
        <v>4.0</v>
      </c>
      <c r="I74" s="14">
        <v>1.0</v>
      </c>
      <c r="J74" s="14">
        <v>2.0</v>
      </c>
      <c r="K74" s="14">
        <v>3.0</v>
      </c>
      <c r="L74" s="14">
        <v>1.0</v>
      </c>
      <c r="M74" s="14">
        <v>1.0</v>
      </c>
      <c r="N74" s="14">
        <v>2.0</v>
      </c>
      <c r="O74" s="14">
        <v>2.0</v>
      </c>
      <c r="P74" s="14">
        <v>3.0</v>
      </c>
      <c r="Q74" s="14">
        <v>2.0</v>
      </c>
      <c r="R74" s="14">
        <v>4.0</v>
      </c>
      <c r="S74" s="14">
        <v>5.0</v>
      </c>
      <c r="T74" s="14">
        <v>1.0</v>
      </c>
      <c r="U74" s="14">
        <v>1.0</v>
      </c>
      <c r="V74" s="14">
        <v>4.0</v>
      </c>
      <c r="W74" s="14">
        <v>2.0</v>
      </c>
      <c r="X74" s="14">
        <v>1.0</v>
      </c>
      <c r="Y74" s="14">
        <v>4.0</v>
      </c>
      <c r="Z74" s="14">
        <v>2.0</v>
      </c>
      <c r="AA74" s="14">
        <v>4.0</v>
      </c>
      <c r="AB74" s="14">
        <v>3.0</v>
      </c>
      <c r="AC74" s="14">
        <v>3.0</v>
      </c>
      <c r="AD74" s="14">
        <v>2.0</v>
      </c>
      <c r="AE74" s="14">
        <v>1.0</v>
      </c>
      <c r="AF74" s="14">
        <v>2.0</v>
      </c>
      <c r="AG74" s="14">
        <v>2.0</v>
      </c>
      <c r="AH74" s="14">
        <v>5.0</v>
      </c>
      <c r="AI74" s="14">
        <v>2.0</v>
      </c>
      <c r="AJ74" s="14">
        <v>5.0</v>
      </c>
      <c r="AK74" s="14">
        <v>4.0</v>
      </c>
      <c r="AL74" s="14">
        <v>2.0</v>
      </c>
      <c r="AM74" s="14">
        <v>2.0</v>
      </c>
      <c r="AN74" s="14">
        <v>4.0</v>
      </c>
      <c r="AO74" s="14">
        <v>2.0</v>
      </c>
      <c r="AP74" s="14">
        <v>1.0</v>
      </c>
      <c r="AQ74" s="14">
        <v>5.0</v>
      </c>
      <c r="AR74" s="14">
        <v>2.0</v>
      </c>
      <c r="AS74" s="14">
        <v>5.0</v>
      </c>
      <c r="AT74" s="14">
        <v>3.0</v>
      </c>
      <c r="AU74" s="14">
        <v>5.0</v>
      </c>
      <c r="AV74" s="14">
        <v>4.0</v>
      </c>
      <c r="AW74" s="14">
        <v>2.0</v>
      </c>
      <c r="AX74" s="14">
        <v>2.0</v>
      </c>
      <c r="AY74" s="14">
        <v>4.0</v>
      </c>
      <c r="AZ74" s="14">
        <v>2.0</v>
      </c>
      <c r="BA74" s="14">
        <v>4.0</v>
      </c>
      <c r="BB74" s="14">
        <v>5.0</v>
      </c>
      <c r="BC74" s="14">
        <v>3.0</v>
      </c>
      <c r="BD74" s="14">
        <v>2.0</v>
      </c>
      <c r="BE74" s="14">
        <v>1.0</v>
      </c>
      <c r="BF74" s="14">
        <v>4.0</v>
      </c>
      <c r="BG74" s="14">
        <v>3.0</v>
      </c>
      <c r="BH74" s="14">
        <v>3.0</v>
      </c>
      <c r="BI74" s="14">
        <v>5.0</v>
      </c>
      <c r="BJ74" s="14">
        <v>2.0</v>
      </c>
      <c r="BK74" s="14">
        <v>2.0</v>
      </c>
      <c r="BL74" s="14">
        <v>3.0</v>
      </c>
      <c r="BM74" s="14">
        <v>4.0</v>
      </c>
      <c r="BN74" s="14">
        <v>3.0</v>
      </c>
      <c r="BO74" s="14">
        <v>3.0</v>
      </c>
      <c r="BP74" s="14">
        <v>3.0</v>
      </c>
      <c r="BQ74" s="14">
        <v>3.0</v>
      </c>
      <c r="BR74" s="14">
        <v>3.0</v>
      </c>
      <c r="BS74" s="14">
        <v>3.0</v>
      </c>
      <c r="BT74" s="14">
        <v>3.0</v>
      </c>
      <c r="BU74" s="14">
        <v>3.0</v>
      </c>
      <c r="BV74" s="14">
        <v>3.0</v>
      </c>
      <c r="BW74" s="14">
        <v>3.0</v>
      </c>
      <c r="BX74" s="14">
        <v>3.0</v>
      </c>
      <c r="BY74" s="14">
        <v>3.0</v>
      </c>
      <c r="BZ74" s="14">
        <v>3.0</v>
      </c>
    </row>
    <row r="75" ht="22.5" customHeight="1">
      <c r="A75" s="13">
        <v>46248.40586033565</v>
      </c>
      <c r="B75" s="14" t="s">
        <v>162</v>
      </c>
      <c r="C75" s="14" t="s">
        <v>492</v>
      </c>
      <c r="D75" s="14">
        <v>2026.0</v>
      </c>
      <c r="E75" s="14" t="s">
        <v>340</v>
      </c>
      <c r="F75" s="14" t="s">
        <v>493</v>
      </c>
      <c r="G75" s="14">
        <v>3.0</v>
      </c>
      <c r="H75" s="14">
        <v>3.0</v>
      </c>
      <c r="I75" s="14">
        <v>1.0</v>
      </c>
      <c r="J75" s="14">
        <v>3.0</v>
      </c>
      <c r="K75" s="14">
        <v>3.0</v>
      </c>
      <c r="L75" s="14">
        <v>1.0</v>
      </c>
      <c r="M75" s="14">
        <v>3.0</v>
      </c>
      <c r="N75" s="14">
        <v>3.0</v>
      </c>
      <c r="O75" s="14">
        <v>3.0</v>
      </c>
      <c r="P75" s="14">
        <v>3.0</v>
      </c>
      <c r="Q75" s="14">
        <v>3.0</v>
      </c>
      <c r="R75" s="14">
        <v>4.0</v>
      </c>
      <c r="S75" s="14">
        <v>3.0</v>
      </c>
      <c r="T75" s="14">
        <v>3.0</v>
      </c>
      <c r="U75" s="14">
        <v>2.0</v>
      </c>
      <c r="V75" s="14">
        <v>3.0</v>
      </c>
      <c r="W75" s="14">
        <v>2.0</v>
      </c>
      <c r="X75" s="14">
        <v>3.0</v>
      </c>
      <c r="Y75" s="14">
        <v>3.0</v>
      </c>
      <c r="Z75" s="14">
        <v>3.0</v>
      </c>
      <c r="AA75" s="14">
        <v>3.0</v>
      </c>
      <c r="AB75" s="14">
        <v>3.0</v>
      </c>
      <c r="AC75" s="14">
        <v>3.0</v>
      </c>
      <c r="AD75" s="14">
        <v>2.0</v>
      </c>
      <c r="AE75" s="14">
        <v>3.0</v>
      </c>
      <c r="AF75" s="14">
        <v>3.0</v>
      </c>
      <c r="AG75" s="14">
        <v>3.0</v>
      </c>
      <c r="AH75" s="14">
        <v>4.0</v>
      </c>
      <c r="AI75" s="14">
        <v>3.0</v>
      </c>
      <c r="AJ75" s="14">
        <v>3.0</v>
      </c>
      <c r="AK75" s="14">
        <v>3.0</v>
      </c>
      <c r="AL75" s="14">
        <v>2.0</v>
      </c>
      <c r="AM75" s="14">
        <v>3.0</v>
      </c>
      <c r="AN75" s="14">
        <v>3.0</v>
      </c>
      <c r="AO75" s="14">
        <v>4.0</v>
      </c>
      <c r="AP75" s="14">
        <v>2.0</v>
      </c>
      <c r="AQ75" s="14">
        <v>3.0</v>
      </c>
      <c r="AR75" s="14">
        <v>3.0</v>
      </c>
      <c r="AS75" s="14">
        <v>3.0</v>
      </c>
      <c r="AT75" s="14">
        <v>2.0</v>
      </c>
      <c r="AU75" s="14">
        <v>4.0</v>
      </c>
      <c r="AV75" s="14">
        <v>4.0</v>
      </c>
      <c r="AW75" s="14">
        <v>2.0</v>
      </c>
      <c r="AX75" s="14">
        <v>3.0</v>
      </c>
      <c r="AY75" s="14">
        <v>2.0</v>
      </c>
      <c r="AZ75" s="14">
        <v>3.0</v>
      </c>
      <c r="BA75" s="14">
        <v>3.0</v>
      </c>
      <c r="BB75" s="14">
        <v>4.0</v>
      </c>
      <c r="BC75" s="14">
        <v>3.0</v>
      </c>
      <c r="BD75" s="14">
        <v>3.0</v>
      </c>
      <c r="BE75" s="14">
        <v>1.0</v>
      </c>
      <c r="BF75" s="14">
        <v>3.0</v>
      </c>
      <c r="BG75" s="14">
        <v>4.0</v>
      </c>
      <c r="BH75" s="14">
        <v>3.0</v>
      </c>
      <c r="BI75" s="14">
        <v>4.0</v>
      </c>
      <c r="BJ75" s="14">
        <v>3.0</v>
      </c>
      <c r="BK75" s="14">
        <v>3.0</v>
      </c>
      <c r="BL75" s="14">
        <v>3.0</v>
      </c>
      <c r="BM75" s="14">
        <v>3.0</v>
      </c>
      <c r="BN75" s="14">
        <v>3.0</v>
      </c>
      <c r="BO75" s="14">
        <v>3.0</v>
      </c>
      <c r="BP75" s="14">
        <v>3.0</v>
      </c>
      <c r="BQ75" s="14">
        <v>3.0</v>
      </c>
      <c r="BR75" s="14">
        <v>3.0</v>
      </c>
      <c r="BS75" s="14">
        <v>3.0</v>
      </c>
      <c r="BT75" s="14">
        <v>3.0</v>
      </c>
      <c r="BU75" s="14">
        <v>3.0</v>
      </c>
      <c r="BV75" s="14">
        <v>3.0</v>
      </c>
      <c r="BW75" s="14">
        <v>3.0</v>
      </c>
      <c r="BX75" s="14">
        <v>3.0</v>
      </c>
      <c r="BY75" s="14">
        <v>2.0</v>
      </c>
      <c r="BZ75" s="14">
        <v>4.0</v>
      </c>
    </row>
    <row r="76" ht="22.5" customHeight="1">
      <c r="A76" s="13">
        <v>46248.40588943287</v>
      </c>
      <c r="B76" s="14" t="s">
        <v>162</v>
      </c>
      <c r="C76" s="14" t="s">
        <v>496</v>
      </c>
      <c r="D76" s="14">
        <v>2026.0</v>
      </c>
      <c r="E76" s="14" t="s">
        <v>277</v>
      </c>
      <c r="F76" s="14" t="s">
        <v>497</v>
      </c>
      <c r="G76" s="14">
        <v>2.0</v>
      </c>
      <c r="H76" s="14">
        <v>2.0</v>
      </c>
      <c r="I76" s="14">
        <v>5.0</v>
      </c>
      <c r="J76" s="14">
        <v>5.0</v>
      </c>
      <c r="K76" s="14">
        <v>4.0</v>
      </c>
      <c r="L76" s="14">
        <v>5.0</v>
      </c>
      <c r="M76" s="14">
        <v>1.0</v>
      </c>
      <c r="N76" s="14">
        <v>3.0</v>
      </c>
      <c r="O76" s="14">
        <v>5.0</v>
      </c>
      <c r="P76" s="14">
        <v>5.0</v>
      </c>
      <c r="Q76" s="14">
        <v>2.0</v>
      </c>
      <c r="R76" s="14">
        <v>4.0</v>
      </c>
      <c r="S76" s="14">
        <v>1.0</v>
      </c>
      <c r="T76" s="14">
        <v>5.0</v>
      </c>
      <c r="U76" s="14">
        <v>5.0</v>
      </c>
      <c r="V76" s="14">
        <v>4.0</v>
      </c>
      <c r="W76" s="14">
        <v>3.0</v>
      </c>
      <c r="X76" s="14">
        <v>2.0</v>
      </c>
      <c r="Y76" s="14">
        <v>3.0</v>
      </c>
      <c r="Z76" s="14">
        <v>5.0</v>
      </c>
      <c r="AA76" s="14">
        <v>5.0</v>
      </c>
      <c r="AB76" s="14">
        <v>4.0</v>
      </c>
      <c r="AC76" s="14">
        <v>3.0</v>
      </c>
      <c r="AD76" s="14">
        <v>4.0</v>
      </c>
      <c r="AE76" s="14">
        <v>1.0</v>
      </c>
      <c r="AF76" s="14">
        <v>2.0</v>
      </c>
      <c r="AG76" s="14">
        <v>5.0</v>
      </c>
      <c r="AH76" s="14">
        <v>5.0</v>
      </c>
      <c r="AI76" s="14">
        <v>5.0</v>
      </c>
      <c r="AJ76" s="14">
        <v>4.0</v>
      </c>
      <c r="AK76" s="14">
        <v>3.0</v>
      </c>
      <c r="AL76" s="14">
        <v>5.0</v>
      </c>
      <c r="AM76" s="14">
        <v>5.0</v>
      </c>
      <c r="AN76" s="14">
        <v>4.0</v>
      </c>
      <c r="AO76" s="14">
        <v>4.0</v>
      </c>
      <c r="AP76" s="14">
        <v>3.0</v>
      </c>
      <c r="AQ76" s="14">
        <v>2.0</v>
      </c>
      <c r="AR76" s="14">
        <v>2.0</v>
      </c>
      <c r="AS76" s="14">
        <v>4.0</v>
      </c>
      <c r="AT76" s="14">
        <v>5.0</v>
      </c>
      <c r="AU76" s="14">
        <v>3.0</v>
      </c>
      <c r="AV76" s="14">
        <v>3.0</v>
      </c>
      <c r="AW76" s="14">
        <v>1.0</v>
      </c>
      <c r="AX76" s="14">
        <v>4.0</v>
      </c>
      <c r="AY76" s="14">
        <v>5.0</v>
      </c>
      <c r="AZ76" s="14">
        <v>4.0</v>
      </c>
      <c r="BA76" s="14">
        <v>5.0</v>
      </c>
      <c r="BB76" s="14">
        <v>4.0</v>
      </c>
      <c r="BC76" s="14">
        <v>3.0</v>
      </c>
      <c r="BD76" s="14">
        <v>2.0</v>
      </c>
      <c r="BE76" s="14">
        <v>5.0</v>
      </c>
      <c r="BF76" s="14">
        <v>3.0</v>
      </c>
      <c r="BG76" s="14">
        <v>4.0</v>
      </c>
      <c r="BH76" s="14">
        <v>3.0</v>
      </c>
      <c r="BI76" s="14">
        <v>5.0</v>
      </c>
      <c r="BJ76" s="14">
        <v>4.0</v>
      </c>
      <c r="BK76" s="14">
        <v>5.0</v>
      </c>
      <c r="BL76" s="14">
        <v>4.0</v>
      </c>
      <c r="BM76" s="14">
        <v>4.0</v>
      </c>
      <c r="BN76" s="14">
        <v>2.0</v>
      </c>
      <c r="BO76" s="14">
        <v>4.0</v>
      </c>
      <c r="BP76" s="14">
        <v>4.0</v>
      </c>
      <c r="BQ76" s="14">
        <v>3.0</v>
      </c>
      <c r="BR76" s="14">
        <v>5.0</v>
      </c>
      <c r="BS76" s="14">
        <v>5.0</v>
      </c>
      <c r="BT76" s="14">
        <v>5.0</v>
      </c>
      <c r="BU76" s="14">
        <v>2.0</v>
      </c>
      <c r="BV76" s="14">
        <v>4.0</v>
      </c>
      <c r="BW76" s="14">
        <v>4.0</v>
      </c>
      <c r="BX76" s="14">
        <v>4.0</v>
      </c>
      <c r="BY76" s="14">
        <v>4.0</v>
      </c>
      <c r="BZ76" s="14">
        <v>2.0</v>
      </c>
    </row>
    <row r="77" ht="22.5" customHeight="1">
      <c r="A77" s="13">
        <v>46248.40600625</v>
      </c>
      <c r="B77" s="14" t="s">
        <v>162</v>
      </c>
      <c r="C77" s="14" t="s">
        <v>500</v>
      </c>
      <c r="D77" s="14">
        <v>2022.0</v>
      </c>
      <c r="E77" s="14" t="s">
        <v>340</v>
      </c>
      <c r="F77" s="14" t="s">
        <v>501</v>
      </c>
      <c r="G77" s="14">
        <v>1.0</v>
      </c>
      <c r="H77" s="14">
        <v>3.0</v>
      </c>
      <c r="I77" s="14">
        <v>2.0</v>
      </c>
      <c r="J77" s="14">
        <v>4.0</v>
      </c>
      <c r="K77" s="14">
        <v>4.0</v>
      </c>
      <c r="L77" s="14">
        <v>5.0</v>
      </c>
      <c r="M77" s="14">
        <v>3.0</v>
      </c>
      <c r="N77" s="14">
        <v>4.0</v>
      </c>
      <c r="O77" s="14">
        <v>1.0</v>
      </c>
      <c r="P77" s="14">
        <v>4.0</v>
      </c>
      <c r="Q77" s="14">
        <v>4.0</v>
      </c>
      <c r="R77" s="14">
        <v>5.0</v>
      </c>
      <c r="S77" s="14">
        <v>1.0</v>
      </c>
      <c r="T77" s="14">
        <v>4.0</v>
      </c>
      <c r="U77" s="14">
        <v>2.0</v>
      </c>
      <c r="V77" s="14">
        <v>4.0</v>
      </c>
      <c r="W77" s="14">
        <v>4.0</v>
      </c>
      <c r="X77" s="14">
        <v>2.0</v>
      </c>
      <c r="Y77" s="14">
        <v>1.0</v>
      </c>
      <c r="Z77" s="14">
        <v>5.0</v>
      </c>
      <c r="AA77" s="14">
        <v>1.0</v>
      </c>
      <c r="AB77" s="14">
        <v>4.0</v>
      </c>
      <c r="AC77" s="14">
        <v>4.0</v>
      </c>
      <c r="AD77" s="14">
        <v>5.0</v>
      </c>
      <c r="AE77" s="14">
        <v>5.0</v>
      </c>
      <c r="AF77" s="14">
        <v>4.0</v>
      </c>
      <c r="AG77" s="14">
        <v>2.0</v>
      </c>
      <c r="AH77" s="14">
        <v>5.0</v>
      </c>
      <c r="AI77" s="14">
        <v>4.0</v>
      </c>
      <c r="AJ77" s="14">
        <v>5.0</v>
      </c>
      <c r="AK77" s="14">
        <v>1.0</v>
      </c>
      <c r="AL77" s="14">
        <v>4.0</v>
      </c>
      <c r="AM77" s="14">
        <v>2.0</v>
      </c>
      <c r="AN77" s="14">
        <v>4.0</v>
      </c>
      <c r="AO77" s="14">
        <v>4.0</v>
      </c>
      <c r="AP77" s="14">
        <v>4.0</v>
      </c>
      <c r="AQ77" s="14">
        <v>1.0</v>
      </c>
      <c r="AR77" s="14">
        <v>5.0</v>
      </c>
      <c r="AS77" s="14">
        <v>4.0</v>
      </c>
      <c r="AT77" s="14">
        <v>2.0</v>
      </c>
      <c r="AU77" s="14">
        <v>4.0</v>
      </c>
      <c r="AV77" s="14">
        <v>5.0</v>
      </c>
      <c r="AW77" s="14">
        <v>1.0</v>
      </c>
      <c r="AX77" s="14">
        <v>2.0</v>
      </c>
      <c r="AY77" s="14">
        <v>1.0</v>
      </c>
      <c r="AZ77" s="14">
        <v>4.0</v>
      </c>
      <c r="BA77" s="14">
        <v>4.0</v>
      </c>
      <c r="BB77" s="14">
        <v>5.0</v>
      </c>
      <c r="BC77" s="14">
        <v>4.0</v>
      </c>
      <c r="BD77" s="14">
        <v>4.0</v>
      </c>
      <c r="BE77" s="14">
        <v>1.0</v>
      </c>
      <c r="BF77" s="14">
        <v>4.0</v>
      </c>
      <c r="BG77" s="14">
        <v>5.0</v>
      </c>
      <c r="BH77" s="14">
        <v>4.0</v>
      </c>
      <c r="BI77" s="14">
        <v>5.0</v>
      </c>
      <c r="BJ77" s="14">
        <v>2.0</v>
      </c>
      <c r="BK77" s="14">
        <v>3.0</v>
      </c>
      <c r="BL77" s="14">
        <v>2.0</v>
      </c>
      <c r="BM77" s="14">
        <v>5.0</v>
      </c>
      <c r="BN77" s="14">
        <v>5.0</v>
      </c>
      <c r="BO77" s="14">
        <v>4.0</v>
      </c>
      <c r="BP77" s="14">
        <v>2.0</v>
      </c>
      <c r="BQ77" s="14">
        <v>4.0</v>
      </c>
      <c r="BR77" s="14">
        <v>5.0</v>
      </c>
      <c r="BS77" s="14">
        <v>4.0</v>
      </c>
      <c r="BT77" s="14">
        <v>5.0</v>
      </c>
      <c r="BU77" s="14">
        <v>2.0</v>
      </c>
      <c r="BV77" s="14">
        <v>2.0</v>
      </c>
      <c r="BW77" s="14">
        <v>3.0</v>
      </c>
      <c r="BX77" s="14">
        <v>3.0</v>
      </c>
      <c r="BY77" s="14">
        <v>5.0</v>
      </c>
      <c r="BZ77" s="14">
        <v>4.0</v>
      </c>
    </row>
    <row r="78" ht="22.5" customHeight="1">
      <c r="A78" s="13">
        <v>46248.40606119213</v>
      </c>
      <c r="B78" s="14" t="s">
        <v>162</v>
      </c>
      <c r="C78" s="14" t="s">
        <v>504</v>
      </c>
      <c r="D78" s="14">
        <v>2026.0</v>
      </c>
      <c r="E78" s="14" t="s">
        <v>219</v>
      </c>
      <c r="F78" s="14" t="s">
        <v>505</v>
      </c>
      <c r="G78" s="14">
        <v>3.0</v>
      </c>
      <c r="H78" s="14">
        <v>3.0</v>
      </c>
      <c r="I78" s="14">
        <v>3.0</v>
      </c>
      <c r="J78" s="14">
        <v>4.0</v>
      </c>
      <c r="K78" s="14">
        <v>3.0</v>
      </c>
      <c r="L78" s="14">
        <v>3.0</v>
      </c>
      <c r="M78" s="14">
        <v>3.0</v>
      </c>
      <c r="N78" s="14">
        <v>3.0</v>
      </c>
      <c r="O78" s="14">
        <v>3.0</v>
      </c>
      <c r="P78" s="14">
        <v>4.0</v>
      </c>
      <c r="Q78" s="14">
        <v>3.0</v>
      </c>
      <c r="R78" s="14">
        <v>4.0</v>
      </c>
      <c r="S78" s="14">
        <v>5.0</v>
      </c>
      <c r="T78" s="14">
        <v>3.0</v>
      </c>
      <c r="U78" s="14">
        <v>3.0</v>
      </c>
      <c r="V78" s="14">
        <v>5.0</v>
      </c>
      <c r="W78" s="14">
        <v>3.0</v>
      </c>
      <c r="X78" s="14">
        <v>3.0</v>
      </c>
      <c r="Y78" s="14">
        <v>3.0</v>
      </c>
      <c r="Z78" s="14">
        <v>3.0</v>
      </c>
      <c r="AA78" s="14">
        <v>4.0</v>
      </c>
      <c r="AB78" s="14">
        <v>4.0</v>
      </c>
      <c r="AC78" s="14">
        <v>4.0</v>
      </c>
      <c r="AD78" s="14">
        <v>3.0</v>
      </c>
      <c r="AE78" s="14">
        <v>3.0</v>
      </c>
      <c r="AF78" s="14">
        <v>3.0</v>
      </c>
      <c r="AG78" s="14">
        <v>3.0</v>
      </c>
      <c r="AH78" s="14">
        <v>5.0</v>
      </c>
      <c r="AI78" s="14">
        <v>3.0</v>
      </c>
      <c r="AJ78" s="14">
        <v>4.0</v>
      </c>
      <c r="AK78" s="14">
        <v>4.0</v>
      </c>
      <c r="AL78" s="14">
        <v>3.0</v>
      </c>
      <c r="AM78" s="14">
        <v>3.0</v>
      </c>
      <c r="AN78" s="14">
        <v>4.0</v>
      </c>
      <c r="AO78" s="14">
        <v>3.0</v>
      </c>
      <c r="AP78" s="14">
        <v>3.0</v>
      </c>
      <c r="AQ78" s="14">
        <v>4.0</v>
      </c>
      <c r="AR78" s="14">
        <v>3.0</v>
      </c>
      <c r="AS78" s="14">
        <v>3.0</v>
      </c>
      <c r="AT78" s="14">
        <v>3.0</v>
      </c>
      <c r="AU78" s="14">
        <v>3.0</v>
      </c>
      <c r="AV78" s="14">
        <v>4.0</v>
      </c>
      <c r="AW78" s="14">
        <v>3.0</v>
      </c>
      <c r="AX78" s="14">
        <v>3.0</v>
      </c>
      <c r="AY78" s="14">
        <v>3.0</v>
      </c>
      <c r="AZ78" s="14">
        <v>5.0</v>
      </c>
      <c r="BA78" s="14">
        <v>3.0</v>
      </c>
      <c r="BB78" s="14">
        <v>3.0</v>
      </c>
      <c r="BC78" s="14">
        <v>3.0</v>
      </c>
      <c r="BD78" s="14">
        <v>3.0</v>
      </c>
      <c r="BE78" s="14">
        <v>3.0</v>
      </c>
      <c r="BF78" s="14">
        <v>5.0</v>
      </c>
      <c r="BG78" s="14">
        <v>3.0</v>
      </c>
      <c r="BH78" s="14">
        <v>3.0</v>
      </c>
      <c r="BI78" s="14">
        <v>3.0</v>
      </c>
      <c r="BJ78" s="14">
        <v>3.0</v>
      </c>
      <c r="BK78" s="14">
        <v>3.0</v>
      </c>
      <c r="BL78" s="14">
        <v>3.0</v>
      </c>
      <c r="BM78" s="14">
        <v>3.0</v>
      </c>
      <c r="BN78" s="14">
        <v>3.0</v>
      </c>
      <c r="BO78" s="14">
        <v>3.0</v>
      </c>
      <c r="BP78" s="14">
        <v>3.0</v>
      </c>
      <c r="BQ78" s="14">
        <v>3.0</v>
      </c>
      <c r="BR78" s="14">
        <v>3.0</v>
      </c>
      <c r="BS78" s="14">
        <v>4.0</v>
      </c>
      <c r="BT78" s="14">
        <v>3.0</v>
      </c>
      <c r="BU78" s="14">
        <v>3.0</v>
      </c>
      <c r="BV78" s="14">
        <v>3.0</v>
      </c>
      <c r="BW78" s="14">
        <v>3.0</v>
      </c>
      <c r="BX78" s="14">
        <v>3.0</v>
      </c>
      <c r="BY78" s="14">
        <v>3.0</v>
      </c>
      <c r="BZ78" s="14">
        <v>4.0</v>
      </c>
    </row>
    <row r="79" ht="22.5" customHeight="1">
      <c r="A79" s="13">
        <v>46248.40614072917</v>
      </c>
      <c r="B79" s="14" t="s">
        <v>162</v>
      </c>
      <c r="C79" s="14" t="s">
        <v>508</v>
      </c>
      <c r="D79" s="14">
        <v>2023.0</v>
      </c>
      <c r="E79" s="14" t="s">
        <v>189</v>
      </c>
      <c r="F79" s="14" t="s">
        <v>509</v>
      </c>
      <c r="G79" s="14">
        <v>5.0</v>
      </c>
      <c r="H79" s="14">
        <v>3.0</v>
      </c>
      <c r="I79" s="14">
        <v>2.0</v>
      </c>
      <c r="J79" s="14">
        <v>4.0</v>
      </c>
      <c r="K79" s="14">
        <v>5.0</v>
      </c>
      <c r="L79" s="14">
        <v>2.0</v>
      </c>
      <c r="M79" s="14">
        <v>4.0</v>
      </c>
      <c r="N79" s="14">
        <v>3.0</v>
      </c>
      <c r="O79" s="14">
        <v>4.0</v>
      </c>
      <c r="P79" s="14">
        <v>4.0</v>
      </c>
      <c r="Q79" s="14">
        <v>2.0</v>
      </c>
      <c r="R79" s="14">
        <v>3.0</v>
      </c>
      <c r="S79" s="14">
        <v>5.0</v>
      </c>
      <c r="T79" s="14">
        <v>3.0</v>
      </c>
      <c r="U79" s="14">
        <v>4.0</v>
      </c>
      <c r="V79" s="14">
        <v>4.0</v>
      </c>
      <c r="W79" s="14">
        <v>3.0</v>
      </c>
      <c r="X79" s="14">
        <v>2.0</v>
      </c>
      <c r="Y79" s="14">
        <v>4.0</v>
      </c>
      <c r="Z79" s="14">
        <v>4.0</v>
      </c>
      <c r="AA79" s="14">
        <v>4.0</v>
      </c>
      <c r="AB79" s="14">
        <v>5.0</v>
      </c>
      <c r="AC79" s="14">
        <v>3.0</v>
      </c>
      <c r="AD79" s="14">
        <v>3.0</v>
      </c>
      <c r="AE79" s="14">
        <v>2.0</v>
      </c>
      <c r="AF79" s="14">
        <v>2.0</v>
      </c>
      <c r="AG79" s="14">
        <v>3.0</v>
      </c>
      <c r="AH79" s="14">
        <v>5.0</v>
      </c>
      <c r="AI79" s="14">
        <v>3.0</v>
      </c>
      <c r="AJ79" s="14">
        <v>4.0</v>
      </c>
      <c r="AK79" s="14">
        <v>3.0</v>
      </c>
      <c r="AL79" s="14">
        <v>3.0</v>
      </c>
      <c r="AM79" s="14">
        <v>3.0</v>
      </c>
      <c r="AN79" s="14">
        <v>4.0</v>
      </c>
      <c r="AO79" s="14">
        <v>3.0</v>
      </c>
      <c r="AP79" s="14">
        <v>2.0</v>
      </c>
      <c r="AQ79" s="14">
        <v>4.0</v>
      </c>
      <c r="AR79" s="14">
        <v>3.0</v>
      </c>
      <c r="AS79" s="14">
        <v>3.0</v>
      </c>
      <c r="AT79" s="14">
        <v>4.0</v>
      </c>
      <c r="AU79" s="14">
        <v>4.0</v>
      </c>
      <c r="AV79" s="14">
        <v>5.0</v>
      </c>
      <c r="AW79" s="14">
        <v>3.0</v>
      </c>
      <c r="AX79" s="14">
        <v>2.0</v>
      </c>
      <c r="AY79" s="14">
        <v>4.0</v>
      </c>
      <c r="AZ79" s="14">
        <v>4.0</v>
      </c>
      <c r="BA79" s="14">
        <v>4.0</v>
      </c>
      <c r="BB79" s="14">
        <v>2.0</v>
      </c>
      <c r="BC79" s="14">
        <v>4.0</v>
      </c>
      <c r="BD79" s="14">
        <v>4.0</v>
      </c>
      <c r="BE79" s="14">
        <v>3.0</v>
      </c>
      <c r="BF79" s="14">
        <v>4.0</v>
      </c>
      <c r="BG79" s="14">
        <v>4.0</v>
      </c>
      <c r="BH79" s="14">
        <v>3.0</v>
      </c>
      <c r="BI79" s="14">
        <v>5.0</v>
      </c>
      <c r="BJ79" s="14">
        <v>2.0</v>
      </c>
      <c r="BK79" s="14">
        <v>2.0</v>
      </c>
      <c r="BL79" s="14">
        <v>3.0</v>
      </c>
      <c r="BM79" s="14">
        <v>4.0</v>
      </c>
      <c r="BN79" s="14">
        <v>4.0</v>
      </c>
      <c r="BO79" s="14">
        <v>2.0</v>
      </c>
      <c r="BP79" s="14">
        <v>2.0</v>
      </c>
      <c r="BQ79" s="14">
        <v>4.0</v>
      </c>
      <c r="BR79" s="14">
        <v>5.0</v>
      </c>
      <c r="BS79" s="14">
        <v>4.0</v>
      </c>
      <c r="BT79" s="14">
        <v>3.0</v>
      </c>
      <c r="BU79" s="14">
        <v>4.0</v>
      </c>
      <c r="BV79" s="14">
        <v>2.0</v>
      </c>
      <c r="BW79" s="14">
        <v>4.0</v>
      </c>
      <c r="BX79" s="14">
        <v>3.0</v>
      </c>
      <c r="BY79" s="14">
        <v>4.0</v>
      </c>
      <c r="BZ79" s="14">
        <v>2.0</v>
      </c>
    </row>
    <row r="80" ht="22.5" customHeight="1">
      <c r="A80" s="13">
        <v>46248.406171724535</v>
      </c>
      <c r="B80" s="14" t="s">
        <v>162</v>
      </c>
      <c r="C80" s="14" t="s">
        <v>513</v>
      </c>
      <c r="D80" s="14">
        <v>2026.0</v>
      </c>
      <c r="E80" s="14" t="s">
        <v>356</v>
      </c>
      <c r="F80" s="14" t="s">
        <v>514</v>
      </c>
      <c r="G80" s="14">
        <v>4.0</v>
      </c>
      <c r="H80" s="14">
        <v>3.0</v>
      </c>
      <c r="I80" s="14">
        <v>1.0</v>
      </c>
      <c r="J80" s="14">
        <v>5.0</v>
      </c>
      <c r="K80" s="14">
        <v>3.0</v>
      </c>
      <c r="L80" s="14">
        <v>4.0</v>
      </c>
      <c r="M80" s="14">
        <v>2.0</v>
      </c>
      <c r="N80" s="14">
        <v>4.0</v>
      </c>
      <c r="O80" s="14">
        <v>3.0</v>
      </c>
      <c r="P80" s="14">
        <v>3.0</v>
      </c>
      <c r="Q80" s="14">
        <v>4.0</v>
      </c>
      <c r="R80" s="14">
        <v>2.0</v>
      </c>
      <c r="S80" s="14">
        <v>2.0</v>
      </c>
      <c r="T80" s="14">
        <v>3.0</v>
      </c>
      <c r="U80" s="14">
        <v>1.0</v>
      </c>
      <c r="V80" s="14">
        <v>4.0</v>
      </c>
      <c r="W80" s="14">
        <v>4.0</v>
      </c>
      <c r="X80" s="14">
        <v>4.0</v>
      </c>
      <c r="Y80" s="14">
        <v>3.0</v>
      </c>
      <c r="Z80" s="14">
        <v>3.0</v>
      </c>
      <c r="AA80" s="14">
        <v>2.0</v>
      </c>
      <c r="AB80" s="14">
        <v>5.0</v>
      </c>
      <c r="AC80" s="14">
        <v>5.0</v>
      </c>
      <c r="AD80" s="14">
        <v>4.0</v>
      </c>
      <c r="AE80" s="14">
        <v>1.0</v>
      </c>
      <c r="AF80" s="14">
        <v>5.0</v>
      </c>
      <c r="AG80" s="14">
        <v>4.0</v>
      </c>
      <c r="AH80" s="14">
        <v>5.0</v>
      </c>
      <c r="AI80" s="14">
        <v>4.0</v>
      </c>
      <c r="AJ80" s="14">
        <v>4.0</v>
      </c>
      <c r="AK80" s="14">
        <v>3.0</v>
      </c>
      <c r="AL80" s="14">
        <v>5.0</v>
      </c>
      <c r="AM80" s="14">
        <v>1.0</v>
      </c>
      <c r="AN80" s="14">
        <v>3.0</v>
      </c>
      <c r="AO80" s="14">
        <v>4.0</v>
      </c>
      <c r="AP80" s="14">
        <v>2.0</v>
      </c>
      <c r="AQ80" s="14">
        <v>3.0</v>
      </c>
      <c r="AR80" s="14">
        <v>2.0</v>
      </c>
      <c r="AS80" s="14">
        <v>3.0</v>
      </c>
      <c r="AT80" s="14">
        <v>4.0</v>
      </c>
      <c r="AU80" s="14">
        <v>5.0</v>
      </c>
      <c r="AV80" s="14">
        <v>5.0</v>
      </c>
      <c r="AW80" s="14">
        <v>4.0</v>
      </c>
      <c r="AX80" s="14">
        <v>3.0</v>
      </c>
      <c r="AY80" s="14">
        <v>2.0</v>
      </c>
      <c r="AZ80" s="14">
        <v>3.0</v>
      </c>
      <c r="BA80" s="14">
        <v>4.0</v>
      </c>
      <c r="BB80" s="14">
        <v>5.0</v>
      </c>
      <c r="BC80" s="14">
        <v>4.0</v>
      </c>
      <c r="BD80" s="14">
        <v>4.0</v>
      </c>
      <c r="BE80" s="14">
        <v>1.0</v>
      </c>
      <c r="BF80" s="14">
        <v>4.0</v>
      </c>
      <c r="BG80" s="14">
        <v>4.0</v>
      </c>
      <c r="BH80" s="14">
        <v>5.0</v>
      </c>
      <c r="BI80" s="14">
        <v>5.0</v>
      </c>
      <c r="BJ80" s="14">
        <v>4.0</v>
      </c>
      <c r="BK80" s="14">
        <v>4.0</v>
      </c>
      <c r="BL80" s="14">
        <v>3.0</v>
      </c>
      <c r="BM80" s="14">
        <v>5.0</v>
      </c>
      <c r="BN80" s="14">
        <v>4.0</v>
      </c>
      <c r="BO80" s="14">
        <v>4.0</v>
      </c>
      <c r="BP80" s="14">
        <v>3.0</v>
      </c>
      <c r="BQ80" s="14">
        <v>4.0</v>
      </c>
      <c r="BR80" s="14">
        <v>4.0</v>
      </c>
      <c r="BS80" s="14">
        <v>5.0</v>
      </c>
      <c r="BT80" s="14">
        <v>5.0</v>
      </c>
      <c r="BU80" s="14">
        <v>5.0</v>
      </c>
      <c r="BV80" s="14">
        <v>5.0</v>
      </c>
      <c r="BW80" s="14">
        <v>5.0</v>
      </c>
      <c r="BX80" s="14">
        <v>3.0</v>
      </c>
      <c r="BY80" s="14">
        <v>3.0</v>
      </c>
      <c r="BZ80" s="14">
        <v>4.0</v>
      </c>
    </row>
    <row r="81" ht="22.5" customHeight="1">
      <c r="A81" s="13">
        <v>46248.40658086806</v>
      </c>
      <c r="B81" s="14" t="s">
        <v>162</v>
      </c>
      <c r="C81" s="14" t="s">
        <v>517</v>
      </c>
      <c r="D81" s="14">
        <v>2026.0</v>
      </c>
      <c r="E81" s="14" t="s">
        <v>239</v>
      </c>
      <c r="F81" s="14" t="s">
        <v>518</v>
      </c>
      <c r="G81" s="14">
        <v>2.0</v>
      </c>
      <c r="H81" s="14">
        <v>3.0</v>
      </c>
      <c r="I81" s="14">
        <v>4.0</v>
      </c>
      <c r="J81" s="14">
        <v>4.0</v>
      </c>
      <c r="K81" s="14">
        <v>4.0</v>
      </c>
      <c r="L81" s="14">
        <v>2.0</v>
      </c>
      <c r="M81" s="14">
        <v>2.0</v>
      </c>
      <c r="N81" s="14">
        <v>3.0</v>
      </c>
      <c r="O81" s="14">
        <v>3.0</v>
      </c>
      <c r="P81" s="14">
        <v>3.0</v>
      </c>
      <c r="Q81" s="14">
        <v>3.0</v>
      </c>
      <c r="R81" s="14">
        <v>3.0</v>
      </c>
      <c r="S81" s="14">
        <v>2.0</v>
      </c>
      <c r="T81" s="14">
        <v>3.0</v>
      </c>
      <c r="U81" s="14">
        <v>2.0</v>
      </c>
      <c r="V81" s="14">
        <v>4.0</v>
      </c>
      <c r="W81" s="14">
        <v>3.0</v>
      </c>
      <c r="X81" s="14">
        <v>2.0</v>
      </c>
      <c r="Y81" s="14">
        <v>2.0</v>
      </c>
      <c r="Z81" s="14">
        <v>3.0</v>
      </c>
      <c r="AA81" s="14">
        <v>4.0</v>
      </c>
      <c r="AB81" s="14">
        <v>4.0</v>
      </c>
      <c r="AC81" s="14">
        <v>4.0</v>
      </c>
      <c r="AD81" s="14">
        <v>3.0</v>
      </c>
      <c r="AE81" s="14">
        <v>2.0</v>
      </c>
      <c r="AF81" s="14">
        <v>2.0</v>
      </c>
      <c r="AG81" s="14">
        <v>3.0</v>
      </c>
      <c r="AH81" s="14">
        <v>4.0</v>
      </c>
      <c r="AI81" s="14">
        <v>4.0</v>
      </c>
      <c r="AJ81" s="14">
        <v>4.0</v>
      </c>
      <c r="AK81" s="14">
        <v>3.0</v>
      </c>
      <c r="AL81" s="14">
        <v>3.0</v>
      </c>
      <c r="AM81" s="14">
        <v>2.0</v>
      </c>
      <c r="AN81" s="14">
        <v>4.0</v>
      </c>
      <c r="AO81" s="14">
        <v>3.0</v>
      </c>
      <c r="AP81" s="14">
        <v>2.0</v>
      </c>
      <c r="AQ81" s="14">
        <v>3.0</v>
      </c>
      <c r="AR81" s="14">
        <v>2.0</v>
      </c>
      <c r="AS81" s="14">
        <v>4.0</v>
      </c>
      <c r="AT81" s="14">
        <v>4.0</v>
      </c>
      <c r="AU81" s="14">
        <v>4.0</v>
      </c>
      <c r="AV81" s="14">
        <v>4.0</v>
      </c>
      <c r="AW81" s="14">
        <v>2.0</v>
      </c>
      <c r="AX81" s="14">
        <v>2.0</v>
      </c>
      <c r="AY81" s="14">
        <v>3.0</v>
      </c>
      <c r="AZ81" s="14">
        <v>4.0</v>
      </c>
      <c r="BA81" s="14">
        <v>4.0</v>
      </c>
      <c r="BB81" s="14">
        <v>3.0</v>
      </c>
      <c r="BC81" s="14">
        <v>4.0</v>
      </c>
      <c r="BD81" s="14">
        <v>3.0</v>
      </c>
      <c r="BE81" s="14">
        <v>2.0</v>
      </c>
      <c r="BF81" s="14">
        <v>4.0</v>
      </c>
      <c r="BG81" s="14">
        <v>3.0</v>
      </c>
      <c r="BH81" s="14">
        <v>3.0</v>
      </c>
      <c r="BI81" s="14">
        <v>3.0</v>
      </c>
      <c r="BJ81" s="14">
        <v>3.0</v>
      </c>
      <c r="BK81" s="14">
        <v>3.0</v>
      </c>
      <c r="BL81" s="14">
        <v>3.0</v>
      </c>
      <c r="BM81" s="14">
        <v>4.0</v>
      </c>
      <c r="BN81" s="14">
        <v>4.0</v>
      </c>
      <c r="BO81" s="14">
        <v>3.0</v>
      </c>
      <c r="BP81" s="14">
        <v>3.0</v>
      </c>
      <c r="BQ81" s="14">
        <v>4.0</v>
      </c>
      <c r="BR81" s="14">
        <v>4.0</v>
      </c>
      <c r="BS81" s="14">
        <v>3.0</v>
      </c>
      <c r="BT81" s="14">
        <v>3.0</v>
      </c>
      <c r="BU81" s="14">
        <v>3.0</v>
      </c>
      <c r="BV81" s="14">
        <v>4.0</v>
      </c>
      <c r="BW81" s="14">
        <v>4.0</v>
      </c>
      <c r="BX81" s="14">
        <v>4.0</v>
      </c>
      <c r="BY81" s="14">
        <v>4.0</v>
      </c>
      <c r="BZ81" s="14">
        <v>4.0</v>
      </c>
    </row>
    <row r="82" ht="22.5" customHeight="1">
      <c r="A82" s="13">
        <v>46248.40694083333</v>
      </c>
      <c r="B82" s="14" t="s">
        <v>162</v>
      </c>
      <c r="C82" s="14" t="s">
        <v>521</v>
      </c>
      <c r="D82" s="14">
        <v>2024.0</v>
      </c>
      <c r="E82" s="14" t="s">
        <v>365</v>
      </c>
      <c r="F82" s="14" t="s">
        <v>522</v>
      </c>
      <c r="G82" s="14">
        <v>1.0</v>
      </c>
      <c r="H82" s="14">
        <v>1.0</v>
      </c>
      <c r="I82" s="14">
        <v>1.0</v>
      </c>
      <c r="J82" s="14">
        <v>1.0</v>
      </c>
      <c r="K82" s="14">
        <v>1.0</v>
      </c>
      <c r="L82" s="14">
        <v>2.0</v>
      </c>
      <c r="M82" s="14">
        <v>1.0</v>
      </c>
      <c r="N82" s="14">
        <v>2.0</v>
      </c>
      <c r="O82" s="14">
        <v>3.0</v>
      </c>
      <c r="P82" s="14">
        <v>2.0</v>
      </c>
      <c r="Q82" s="14">
        <v>3.0</v>
      </c>
      <c r="R82" s="14">
        <v>4.0</v>
      </c>
      <c r="S82" s="14">
        <v>2.0</v>
      </c>
      <c r="T82" s="14">
        <v>2.0</v>
      </c>
      <c r="U82" s="14">
        <v>1.0</v>
      </c>
      <c r="V82" s="14">
        <v>4.0</v>
      </c>
      <c r="W82" s="14">
        <v>3.0</v>
      </c>
      <c r="X82" s="14">
        <v>2.0</v>
      </c>
      <c r="Y82" s="14">
        <v>2.0</v>
      </c>
      <c r="Z82" s="14">
        <v>4.0</v>
      </c>
      <c r="AA82" s="14">
        <v>5.0</v>
      </c>
      <c r="AB82" s="14">
        <v>2.0</v>
      </c>
      <c r="AC82" s="14">
        <v>3.0</v>
      </c>
      <c r="AD82" s="14">
        <v>2.0</v>
      </c>
      <c r="AE82" s="14">
        <v>1.0</v>
      </c>
      <c r="AF82" s="14">
        <v>2.0</v>
      </c>
      <c r="AG82" s="14">
        <v>2.0</v>
      </c>
      <c r="AH82" s="14">
        <v>3.0</v>
      </c>
      <c r="AI82" s="14">
        <v>3.0</v>
      </c>
      <c r="AJ82" s="14">
        <v>3.0</v>
      </c>
      <c r="AK82" s="14">
        <v>2.0</v>
      </c>
      <c r="AL82" s="14">
        <v>3.0</v>
      </c>
      <c r="AM82" s="14">
        <v>1.0</v>
      </c>
      <c r="AN82" s="14">
        <v>3.0</v>
      </c>
      <c r="AO82" s="14">
        <v>3.0</v>
      </c>
      <c r="AP82" s="14">
        <v>2.0</v>
      </c>
      <c r="AQ82" s="14">
        <v>2.0</v>
      </c>
      <c r="AR82" s="14">
        <v>2.0</v>
      </c>
      <c r="AS82" s="14">
        <v>3.0</v>
      </c>
      <c r="AT82" s="14">
        <v>3.0</v>
      </c>
      <c r="AU82" s="14">
        <v>3.0</v>
      </c>
      <c r="AV82" s="14">
        <v>2.0</v>
      </c>
      <c r="AW82" s="14">
        <v>2.0</v>
      </c>
      <c r="AX82" s="14">
        <v>3.0</v>
      </c>
      <c r="AY82" s="14">
        <v>3.0</v>
      </c>
      <c r="AZ82" s="14">
        <v>2.0</v>
      </c>
      <c r="BA82" s="14">
        <v>5.0</v>
      </c>
      <c r="BB82" s="14">
        <v>4.0</v>
      </c>
      <c r="BC82" s="14">
        <v>4.0</v>
      </c>
      <c r="BD82" s="14">
        <v>3.0</v>
      </c>
      <c r="BE82" s="14">
        <v>1.0</v>
      </c>
      <c r="BF82" s="14">
        <v>5.0</v>
      </c>
      <c r="BG82" s="14">
        <v>3.0</v>
      </c>
      <c r="BH82" s="14">
        <v>3.0</v>
      </c>
      <c r="BI82" s="14">
        <v>4.0</v>
      </c>
      <c r="BJ82" s="14">
        <v>4.0</v>
      </c>
      <c r="BK82" s="14">
        <v>3.0</v>
      </c>
      <c r="BL82" s="14">
        <v>2.0</v>
      </c>
      <c r="BM82" s="14">
        <v>2.0</v>
      </c>
      <c r="BN82" s="14">
        <v>3.0</v>
      </c>
      <c r="BO82" s="14">
        <v>3.0</v>
      </c>
      <c r="BP82" s="14">
        <v>3.0</v>
      </c>
      <c r="BQ82" s="14">
        <v>4.0</v>
      </c>
      <c r="BR82" s="14">
        <v>5.0</v>
      </c>
      <c r="BS82" s="14">
        <v>4.0</v>
      </c>
      <c r="BT82" s="14">
        <v>5.0</v>
      </c>
      <c r="BU82" s="14">
        <v>4.0</v>
      </c>
      <c r="BV82" s="14">
        <v>3.0</v>
      </c>
      <c r="BW82" s="14">
        <v>4.0</v>
      </c>
      <c r="BX82" s="14">
        <v>4.0</v>
      </c>
      <c r="BY82" s="14">
        <v>4.0</v>
      </c>
      <c r="BZ82" s="14">
        <v>4.0</v>
      </c>
    </row>
    <row r="83" ht="22.5" customHeight="1">
      <c r="A83" s="13">
        <v>46248.40695362269</v>
      </c>
      <c r="B83" s="14" t="s">
        <v>162</v>
      </c>
      <c r="C83" s="14" t="s">
        <v>526</v>
      </c>
      <c r="D83" s="14">
        <v>2024.0</v>
      </c>
      <c r="E83" s="14" t="s">
        <v>356</v>
      </c>
      <c r="F83" s="14" t="s">
        <v>527</v>
      </c>
      <c r="G83" s="14">
        <v>2.0</v>
      </c>
      <c r="H83" s="14">
        <v>5.0</v>
      </c>
      <c r="I83" s="14">
        <v>5.0</v>
      </c>
      <c r="J83" s="14">
        <v>5.0</v>
      </c>
      <c r="K83" s="14">
        <v>2.0</v>
      </c>
      <c r="L83" s="14">
        <v>4.0</v>
      </c>
      <c r="M83" s="14">
        <v>4.0</v>
      </c>
      <c r="N83" s="14">
        <v>5.0</v>
      </c>
      <c r="O83" s="14">
        <v>5.0</v>
      </c>
      <c r="P83" s="14">
        <v>4.0</v>
      </c>
      <c r="Q83" s="14">
        <v>3.0</v>
      </c>
      <c r="R83" s="14">
        <v>2.0</v>
      </c>
      <c r="S83" s="14">
        <v>1.0</v>
      </c>
      <c r="T83" s="14">
        <v>5.0</v>
      </c>
      <c r="U83" s="14">
        <v>4.0</v>
      </c>
      <c r="V83" s="14">
        <v>5.0</v>
      </c>
      <c r="W83" s="14">
        <v>4.0</v>
      </c>
      <c r="X83" s="14">
        <v>1.0</v>
      </c>
      <c r="Y83" s="14">
        <v>4.0</v>
      </c>
      <c r="Z83" s="14">
        <v>5.0</v>
      </c>
      <c r="AA83" s="14">
        <v>5.0</v>
      </c>
      <c r="AB83" s="14">
        <v>4.0</v>
      </c>
      <c r="AC83" s="14">
        <v>4.0</v>
      </c>
      <c r="AD83" s="14">
        <v>5.0</v>
      </c>
      <c r="AE83" s="14">
        <v>1.0</v>
      </c>
      <c r="AF83" s="14">
        <v>4.0</v>
      </c>
      <c r="AG83" s="14">
        <v>5.0</v>
      </c>
      <c r="AH83" s="14">
        <v>5.0</v>
      </c>
      <c r="AI83" s="14">
        <v>5.0</v>
      </c>
      <c r="AJ83" s="14">
        <v>5.0</v>
      </c>
      <c r="AK83" s="14">
        <v>5.0</v>
      </c>
      <c r="AL83" s="14">
        <v>5.0</v>
      </c>
      <c r="AM83" s="14">
        <v>4.0</v>
      </c>
      <c r="AN83" s="14">
        <v>4.0</v>
      </c>
      <c r="AO83" s="14">
        <v>2.0</v>
      </c>
      <c r="AP83" s="14">
        <v>4.0</v>
      </c>
      <c r="AQ83" s="14">
        <v>1.0</v>
      </c>
      <c r="AR83" s="14">
        <v>4.0</v>
      </c>
      <c r="AS83" s="14">
        <v>1.0</v>
      </c>
      <c r="AT83" s="14">
        <v>5.0</v>
      </c>
      <c r="AU83" s="14">
        <v>2.0</v>
      </c>
      <c r="AV83" s="14">
        <v>5.0</v>
      </c>
      <c r="AW83" s="14">
        <v>3.0</v>
      </c>
      <c r="AX83" s="14">
        <v>5.0</v>
      </c>
      <c r="AY83" s="14">
        <v>5.0</v>
      </c>
      <c r="AZ83" s="14">
        <v>2.0</v>
      </c>
      <c r="BA83" s="14">
        <v>5.0</v>
      </c>
      <c r="BB83" s="14">
        <v>4.0</v>
      </c>
      <c r="BC83" s="14">
        <v>5.0</v>
      </c>
      <c r="BD83" s="14">
        <v>5.0</v>
      </c>
      <c r="BE83" s="14">
        <v>4.0</v>
      </c>
      <c r="BF83" s="14">
        <v>5.0</v>
      </c>
      <c r="BG83" s="14">
        <v>4.0</v>
      </c>
      <c r="BH83" s="14">
        <v>2.0</v>
      </c>
      <c r="BI83" s="14">
        <v>4.0</v>
      </c>
      <c r="BJ83" s="14">
        <v>2.0</v>
      </c>
      <c r="BK83" s="14">
        <v>2.0</v>
      </c>
      <c r="BL83" s="14">
        <v>4.0</v>
      </c>
      <c r="BM83" s="14">
        <v>4.0</v>
      </c>
      <c r="BN83" s="14">
        <v>2.0</v>
      </c>
      <c r="BO83" s="14">
        <v>5.0</v>
      </c>
      <c r="BP83" s="14">
        <v>5.0</v>
      </c>
      <c r="BQ83" s="14">
        <v>4.0</v>
      </c>
      <c r="BR83" s="14">
        <v>4.0</v>
      </c>
      <c r="BS83" s="14">
        <v>3.0</v>
      </c>
      <c r="BT83" s="14">
        <v>2.0</v>
      </c>
      <c r="BU83" s="14">
        <v>5.0</v>
      </c>
      <c r="BV83" s="14">
        <v>5.0</v>
      </c>
      <c r="BW83" s="14">
        <v>5.0</v>
      </c>
      <c r="BX83" s="14">
        <v>4.0</v>
      </c>
      <c r="BY83" s="14">
        <v>5.0</v>
      </c>
      <c r="BZ83" s="14">
        <v>4.0</v>
      </c>
    </row>
    <row r="84" ht="22.5" customHeight="1">
      <c r="A84" s="13">
        <v>46248.4070394213</v>
      </c>
      <c r="B84" s="14" t="s">
        <v>162</v>
      </c>
      <c r="C84" s="14" t="s">
        <v>530</v>
      </c>
      <c r="D84" s="14">
        <v>2025.0</v>
      </c>
      <c r="E84" s="14" t="s">
        <v>189</v>
      </c>
      <c r="F84" s="14" t="s">
        <v>531</v>
      </c>
      <c r="G84" s="14">
        <v>4.0</v>
      </c>
      <c r="H84" s="14">
        <v>4.0</v>
      </c>
      <c r="I84" s="14">
        <v>4.0</v>
      </c>
      <c r="J84" s="14">
        <v>4.0</v>
      </c>
      <c r="K84" s="14">
        <v>4.0</v>
      </c>
      <c r="L84" s="14">
        <v>4.0</v>
      </c>
      <c r="M84" s="14">
        <v>4.0</v>
      </c>
      <c r="N84" s="14">
        <v>4.0</v>
      </c>
      <c r="O84" s="14">
        <v>4.0</v>
      </c>
      <c r="P84" s="14">
        <v>4.0</v>
      </c>
      <c r="Q84" s="14">
        <v>4.0</v>
      </c>
      <c r="R84" s="14">
        <v>4.0</v>
      </c>
      <c r="S84" s="14">
        <v>3.0</v>
      </c>
      <c r="T84" s="14">
        <v>3.0</v>
      </c>
      <c r="U84" s="14">
        <v>4.0</v>
      </c>
      <c r="V84" s="14">
        <v>3.0</v>
      </c>
      <c r="W84" s="14">
        <v>3.0</v>
      </c>
      <c r="X84" s="14">
        <v>3.0</v>
      </c>
      <c r="Y84" s="14">
        <v>3.0</v>
      </c>
      <c r="Z84" s="14">
        <v>3.0</v>
      </c>
      <c r="AA84" s="14">
        <v>3.0</v>
      </c>
      <c r="AB84" s="14">
        <v>3.0</v>
      </c>
      <c r="AC84" s="14">
        <v>3.0</v>
      </c>
      <c r="AD84" s="14">
        <v>3.0</v>
      </c>
      <c r="AE84" s="14">
        <v>2.0</v>
      </c>
      <c r="AF84" s="14">
        <v>3.0</v>
      </c>
      <c r="AG84" s="14">
        <v>3.0</v>
      </c>
      <c r="AH84" s="14">
        <v>3.0</v>
      </c>
      <c r="AI84" s="14">
        <v>3.0</v>
      </c>
      <c r="AJ84" s="14">
        <v>3.0</v>
      </c>
      <c r="AK84" s="14">
        <v>3.0</v>
      </c>
      <c r="AL84" s="14">
        <v>3.0</v>
      </c>
      <c r="AM84" s="14">
        <v>3.0</v>
      </c>
      <c r="AN84" s="14">
        <v>3.0</v>
      </c>
      <c r="AO84" s="14">
        <v>2.0</v>
      </c>
      <c r="AP84" s="14">
        <v>3.0</v>
      </c>
      <c r="AQ84" s="14">
        <v>2.0</v>
      </c>
      <c r="AR84" s="14">
        <v>3.0</v>
      </c>
      <c r="AS84" s="14">
        <v>3.0</v>
      </c>
      <c r="AT84" s="14">
        <v>3.0</v>
      </c>
      <c r="AU84" s="14">
        <v>3.0</v>
      </c>
      <c r="AV84" s="14">
        <v>4.0</v>
      </c>
      <c r="AW84" s="14">
        <v>3.0</v>
      </c>
      <c r="AX84" s="14">
        <v>3.0</v>
      </c>
      <c r="AY84" s="14">
        <v>4.0</v>
      </c>
      <c r="AZ84" s="14">
        <v>3.0</v>
      </c>
      <c r="BA84" s="14">
        <v>3.0</v>
      </c>
      <c r="BB84" s="14">
        <v>3.0</v>
      </c>
      <c r="BC84" s="14">
        <v>3.0</v>
      </c>
      <c r="BD84" s="14">
        <v>3.0</v>
      </c>
      <c r="BE84" s="14">
        <v>3.0</v>
      </c>
      <c r="BF84" s="14">
        <v>3.0</v>
      </c>
      <c r="BG84" s="14">
        <v>3.0</v>
      </c>
      <c r="BH84" s="14">
        <v>3.0</v>
      </c>
      <c r="BI84" s="14">
        <v>3.0</v>
      </c>
      <c r="BJ84" s="14">
        <v>3.0</v>
      </c>
      <c r="BK84" s="14">
        <v>3.0</v>
      </c>
      <c r="BL84" s="14">
        <v>3.0</v>
      </c>
      <c r="BM84" s="14">
        <v>4.0</v>
      </c>
      <c r="BN84" s="14">
        <v>3.0</v>
      </c>
      <c r="BO84" s="14">
        <v>3.0</v>
      </c>
      <c r="BP84" s="14">
        <v>3.0</v>
      </c>
      <c r="BQ84" s="14">
        <v>3.0</v>
      </c>
      <c r="BR84" s="14">
        <v>4.0</v>
      </c>
      <c r="BS84" s="14">
        <v>4.0</v>
      </c>
      <c r="BT84" s="14">
        <v>3.0</v>
      </c>
      <c r="BU84" s="14">
        <v>3.0</v>
      </c>
      <c r="BV84" s="14">
        <v>3.0</v>
      </c>
      <c r="BW84" s="14">
        <v>3.0</v>
      </c>
      <c r="BX84" s="14">
        <v>3.0</v>
      </c>
      <c r="BY84" s="14">
        <v>3.0</v>
      </c>
      <c r="BZ84" s="14">
        <v>3.0</v>
      </c>
    </row>
    <row r="85" ht="22.5" customHeight="1">
      <c r="A85" s="13">
        <v>46248.40706612269</v>
      </c>
      <c r="B85" s="14" t="s">
        <v>162</v>
      </c>
      <c r="C85" s="14" t="s">
        <v>534</v>
      </c>
      <c r="D85" s="14">
        <v>2023.0</v>
      </c>
      <c r="E85" s="14" t="s">
        <v>535</v>
      </c>
      <c r="F85" s="14" t="s">
        <v>536</v>
      </c>
      <c r="G85" s="14">
        <v>2.0</v>
      </c>
      <c r="H85" s="14">
        <v>4.0</v>
      </c>
      <c r="I85" s="14">
        <v>4.0</v>
      </c>
      <c r="J85" s="14">
        <v>4.0</v>
      </c>
      <c r="K85" s="14">
        <v>2.0</v>
      </c>
      <c r="L85" s="14">
        <v>5.0</v>
      </c>
      <c r="M85" s="14">
        <v>1.0</v>
      </c>
      <c r="N85" s="14">
        <v>3.0</v>
      </c>
      <c r="O85" s="14">
        <v>4.0</v>
      </c>
      <c r="P85" s="14">
        <v>2.0</v>
      </c>
      <c r="Q85" s="14">
        <v>2.0</v>
      </c>
      <c r="R85" s="14">
        <v>2.0</v>
      </c>
      <c r="S85" s="14">
        <v>2.0</v>
      </c>
      <c r="T85" s="14">
        <v>4.0</v>
      </c>
      <c r="U85" s="14">
        <v>4.0</v>
      </c>
      <c r="V85" s="14">
        <v>4.0</v>
      </c>
      <c r="W85" s="14">
        <v>4.0</v>
      </c>
      <c r="X85" s="14">
        <v>1.0</v>
      </c>
      <c r="Y85" s="14">
        <v>1.0</v>
      </c>
      <c r="Z85" s="14">
        <v>2.0</v>
      </c>
      <c r="AA85" s="14">
        <v>5.0</v>
      </c>
      <c r="AB85" s="14">
        <v>5.0</v>
      </c>
      <c r="AC85" s="14">
        <v>3.0</v>
      </c>
      <c r="AD85" s="14">
        <v>4.0</v>
      </c>
      <c r="AE85" s="14">
        <v>1.0</v>
      </c>
      <c r="AF85" s="14">
        <v>3.0</v>
      </c>
      <c r="AG85" s="14">
        <v>5.0</v>
      </c>
      <c r="AH85" s="14">
        <v>5.0</v>
      </c>
      <c r="AI85" s="14">
        <v>4.0</v>
      </c>
      <c r="AJ85" s="14">
        <v>4.0</v>
      </c>
      <c r="AK85" s="14">
        <v>1.0</v>
      </c>
      <c r="AL85" s="14">
        <v>3.0</v>
      </c>
      <c r="AM85" s="14">
        <v>2.0</v>
      </c>
      <c r="AN85" s="14">
        <v>3.0</v>
      </c>
      <c r="AO85" s="14">
        <v>4.0</v>
      </c>
      <c r="AP85" s="14">
        <v>2.0</v>
      </c>
      <c r="AQ85" s="14">
        <v>2.0</v>
      </c>
      <c r="AR85" s="14">
        <v>2.0</v>
      </c>
      <c r="AS85" s="14">
        <v>4.0</v>
      </c>
      <c r="AT85" s="14">
        <v>4.0</v>
      </c>
      <c r="AU85" s="14">
        <v>4.0</v>
      </c>
      <c r="AV85" s="14">
        <v>4.0</v>
      </c>
      <c r="AW85" s="14">
        <v>1.0</v>
      </c>
      <c r="AX85" s="14">
        <v>4.0</v>
      </c>
      <c r="AY85" s="14">
        <v>5.0</v>
      </c>
      <c r="AZ85" s="14">
        <v>4.0</v>
      </c>
      <c r="BA85" s="14">
        <v>5.0</v>
      </c>
      <c r="BB85" s="14">
        <v>4.0</v>
      </c>
      <c r="BC85" s="14">
        <v>4.0</v>
      </c>
      <c r="BD85" s="14">
        <v>3.0</v>
      </c>
      <c r="BE85" s="14">
        <v>2.0</v>
      </c>
      <c r="BF85" s="14">
        <v>5.0</v>
      </c>
      <c r="BG85" s="14">
        <v>5.0</v>
      </c>
      <c r="BH85" s="14">
        <v>5.0</v>
      </c>
      <c r="BI85" s="14">
        <v>4.0</v>
      </c>
      <c r="BJ85" s="14">
        <v>4.0</v>
      </c>
      <c r="BK85" s="14">
        <v>4.0</v>
      </c>
      <c r="BL85" s="14">
        <v>3.0</v>
      </c>
      <c r="BM85" s="14">
        <v>4.0</v>
      </c>
      <c r="BN85" s="14">
        <v>3.0</v>
      </c>
      <c r="BO85" s="14">
        <v>2.0</v>
      </c>
      <c r="BP85" s="14">
        <v>3.0</v>
      </c>
      <c r="BQ85" s="14">
        <v>4.0</v>
      </c>
      <c r="BR85" s="14">
        <v>4.0</v>
      </c>
      <c r="BS85" s="14">
        <v>3.0</v>
      </c>
      <c r="BT85" s="14">
        <v>2.0</v>
      </c>
      <c r="BU85" s="14">
        <v>3.0</v>
      </c>
      <c r="BV85" s="14">
        <v>4.0</v>
      </c>
      <c r="BW85" s="14">
        <v>5.0</v>
      </c>
      <c r="BX85" s="14">
        <v>4.0</v>
      </c>
      <c r="BY85" s="14">
        <v>4.0</v>
      </c>
      <c r="BZ85" s="14">
        <v>4.0</v>
      </c>
    </row>
    <row r="86" ht="22.5" customHeight="1">
      <c r="A86" s="13">
        <v>46248.40707753472</v>
      </c>
      <c r="B86" s="14" t="s">
        <v>162</v>
      </c>
      <c r="C86" s="14" t="s">
        <v>539</v>
      </c>
      <c r="D86" s="14">
        <v>2023.0</v>
      </c>
      <c r="E86" s="14" t="s">
        <v>296</v>
      </c>
      <c r="F86" s="14" t="s">
        <v>540</v>
      </c>
      <c r="G86" s="14">
        <v>4.0</v>
      </c>
      <c r="H86" s="14">
        <v>4.0</v>
      </c>
      <c r="I86" s="14">
        <v>4.0</v>
      </c>
      <c r="J86" s="14">
        <v>4.0</v>
      </c>
      <c r="K86" s="14">
        <v>5.0</v>
      </c>
      <c r="L86" s="14">
        <v>4.0</v>
      </c>
      <c r="M86" s="14">
        <v>2.0</v>
      </c>
      <c r="N86" s="14">
        <v>4.0</v>
      </c>
      <c r="O86" s="14">
        <v>4.0</v>
      </c>
      <c r="P86" s="14">
        <v>4.0</v>
      </c>
      <c r="Q86" s="14">
        <v>3.0</v>
      </c>
      <c r="R86" s="14">
        <v>5.0</v>
      </c>
      <c r="S86" s="14">
        <v>4.0</v>
      </c>
      <c r="T86" s="14">
        <v>4.0</v>
      </c>
      <c r="U86" s="14">
        <v>4.0</v>
      </c>
      <c r="V86" s="14">
        <v>2.0</v>
      </c>
      <c r="W86" s="14">
        <v>4.0</v>
      </c>
      <c r="X86" s="14">
        <v>2.0</v>
      </c>
      <c r="Y86" s="14">
        <v>4.0</v>
      </c>
      <c r="Z86" s="14">
        <v>4.0</v>
      </c>
      <c r="AA86" s="14">
        <v>4.0</v>
      </c>
      <c r="AB86" s="14">
        <v>4.0</v>
      </c>
      <c r="AC86" s="14">
        <v>4.0</v>
      </c>
      <c r="AD86" s="14">
        <v>4.0</v>
      </c>
      <c r="AE86" s="14">
        <v>4.0</v>
      </c>
      <c r="AF86" s="14">
        <v>2.0</v>
      </c>
      <c r="AG86" s="14">
        <v>4.0</v>
      </c>
      <c r="AH86" s="14">
        <v>4.0</v>
      </c>
      <c r="AI86" s="14">
        <v>4.0</v>
      </c>
      <c r="AJ86" s="14">
        <v>4.0</v>
      </c>
      <c r="AK86" s="14">
        <v>2.0</v>
      </c>
      <c r="AL86" s="14">
        <v>4.0</v>
      </c>
      <c r="AM86" s="14">
        <v>4.0</v>
      </c>
      <c r="AN86" s="14">
        <v>2.0</v>
      </c>
      <c r="AO86" s="14">
        <v>5.0</v>
      </c>
      <c r="AP86" s="14">
        <v>4.0</v>
      </c>
      <c r="AQ86" s="14">
        <v>4.0</v>
      </c>
      <c r="AR86" s="14">
        <v>4.0</v>
      </c>
      <c r="AS86" s="14">
        <v>4.0</v>
      </c>
      <c r="AT86" s="14">
        <v>4.0</v>
      </c>
      <c r="AU86" s="14">
        <v>4.0</v>
      </c>
      <c r="AV86" s="14">
        <v>5.0</v>
      </c>
      <c r="AW86" s="14">
        <v>4.0</v>
      </c>
      <c r="AX86" s="14">
        <v>4.0</v>
      </c>
      <c r="AY86" s="14">
        <v>4.0</v>
      </c>
      <c r="AZ86" s="14">
        <v>4.0</v>
      </c>
      <c r="BA86" s="14">
        <v>4.0</v>
      </c>
      <c r="BB86" s="14">
        <v>4.0</v>
      </c>
      <c r="BC86" s="14">
        <v>4.0</v>
      </c>
      <c r="BD86" s="14">
        <v>4.0</v>
      </c>
      <c r="BE86" s="14">
        <v>4.0</v>
      </c>
      <c r="BF86" s="14">
        <v>4.0</v>
      </c>
      <c r="BG86" s="14">
        <v>4.0</v>
      </c>
      <c r="BH86" s="14">
        <v>4.0</v>
      </c>
      <c r="BI86" s="14">
        <v>4.0</v>
      </c>
      <c r="BJ86" s="14">
        <v>4.0</v>
      </c>
      <c r="BK86" s="14">
        <v>4.0</v>
      </c>
      <c r="BL86" s="14">
        <v>4.0</v>
      </c>
      <c r="BM86" s="14">
        <v>4.0</v>
      </c>
      <c r="BN86" s="14">
        <v>4.0</v>
      </c>
      <c r="BO86" s="14">
        <v>4.0</v>
      </c>
      <c r="BP86" s="14">
        <v>4.0</v>
      </c>
      <c r="BQ86" s="14">
        <v>5.0</v>
      </c>
      <c r="BR86" s="14">
        <v>5.0</v>
      </c>
      <c r="BS86" s="14">
        <v>4.0</v>
      </c>
      <c r="BT86" s="14">
        <v>5.0</v>
      </c>
      <c r="BU86" s="14">
        <v>4.0</v>
      </c>
      <c r="BV86" s="14">
        <v>4.0</v>
      </c>
      <c r="BW86" s="14">
        <v>4.0</v>
      </c>
      <c r="BX86" s="14">
        <v>5.0</v>
      </c>
      <c r="BY86" s="14">
        <v>4.0</v>
      </c>
      <c r="BZ86" s="14">
        <v>5.0</v>
      </c>
    </row>
    <row r="87" ht="22.5" customHeight="1">
      <c r="A87" s="13">
        <v>46248.40761060185</v>
      </c>
      <c r="B87" s="14" t="s">
        <v>162</v>
      </c>
      <c r="C87" s="14" t="s">
        <v>543</v>
      </c>
      <c r="D87" s="14">
        <v>2026.0</v>
      </c>
      <c r="E87" s="14" t="s">
        <v>544</v>
      </c>
      <c r="F87" s="14" t="s">
        <v>545</v>
      </c>
      <c r="G87" s="14">
        <v>5.0</v>
      </c>
      <c r="H87" s="14">
        <v>4.0</v>
      </c>
      <c r="I87" s="14">
        <v>1.0</v>
      </c>
      <c r="J87" s="14">
        <v>4.0</v>
      </c>
      <c r="K87" s="14">
        <v>4.0</v>
      </c>
      <c r="L87" s="14">
        <v>3.0</v>
      </c>
      <c r="M87" s="14">
        <v>4.0</v>
      </c>
      <c r="N87" s="14">
        <v>3.0</v>
      </c>
      <c r="O87" s="14">
        <v>4.0</v>
      </c>
      <c r="P87" s="14">
        <v>3.0</v>
      </c>
      <c r="Q87" s="14">
        <v>4.0</v>
      </c>
      <c r="R87" s="14">
        <v>4.0</v>
      </c>
      <c r="S87" s="14">
        <v>4.0</v>
      </c>
      <c r="T87" s="14">
        <v>4.0</v>
      </c>
      <c r="U87" s="14">
        <v>1.0</v>
      </c>
      <c r="V87" s="14">
        <v>3.0</v>
      </c>
      <c r="W87" s="14">
        <v>4.0</v>
      </c>
      <c r="X87" s="14">
        <v>4.0</v>
      </c>
      <c r="Y87" s="14">
        <v>5.0</v>
      </c>
      <c r="Z87" s="14">
        <v>4.0</v>
      </c>
      <c r="AA87" s="14">
        <v>1.0</v>
      </c>
      <c r="AB87" s="14">
        <v>4.0</v>
      </c>
      <c r="AC87" s="14">
        <v>4.0</v>
      </c>
      <c r="AD87" s="14">
        <v>4.0</v>
      </c>
      <c r="AE87" s="14">
        <v>2.0</v>
      </c>
      <c r="AF87" s="14">
        <v>3.0</v>
      </c>
      <c r="AG87" s="14">
        <v>3.0</v>
      </c>
      <c r="AH87" s="14">
        <v>5.0</v>
      </c>
      <c r="AI87" s="14">
        <v>4.0</v>
      </c>
      <c r="AJ87" s="14">
        <v>4.0</v>
      </c>
      <c r="AK87" s="14">
        <v>4.0</v>
      </c>
      <c r="AL87" s="14">
        <v>4.0</v>
      </c>
      <c r="AM87" s="14">
        <v>4.0</v>
      </c>
      <c r="AN87" s="14">
        <v>4.0</v>
      </c>
      <c r="AO87" s="14">
        <v>5.0</v>
      </c>
      <c r="AP87" s="14">
        <v>4.0</v>
      </c>
      <c r="AQ87" s="14">
        <v>2.0</v>
      </c>
      <c r="AR87" s="14">
        <v>4.0</v>
      </c>
      <c r="AS87" s="14">
        <v>3.0</v>
      </c>
      <c r="AT87" s="14">
        <v>4.0</v>
      </c>
      <c r="AU87" s="14">
        <v>5.0</v>
      </c>
      <c r="AV87" s="14">
        <v>5.0</v>
      </c>
      <c r="AW87" s="14">
        <v>5.0</v>
      </c>
      <c r="AX87" s="14">
        <v>5.0</v>
      </c>
      <c r="AY87" s="14">
        <v>2.0</v>
      </c>
      <c r="AZ87" s="14">
        <v>4.0</v>
      </c>
      <c r="BA87" s="14">
        <v>4.0</v>
      </c>
      <c r="BB87" s="14">
        <v>3.0</v>
      </c>
      <c r="BC87" s="14">
        <v>3.0</v>
      </c>
      <c r="BD87" s="14">
        <v>5.0</v>
      </c>
      <c r="BE87" s="14">
        <v>1.0</v>
      </c>
      <c r="BF87" s="14">
        <v>4.0</v>
      </c>
      <c r="BG87" s="14">
        <v>4.0</v>
      </c>
      <c r="BH87" s="14">
        <v>4.0</v>
      </c>
      <c r="BI87" s="14">
        <v>5.0</v>
      </c>
      <c r="BJ87" s="14">
        <v>4.0</v>
      </c>
      <c r="BK87" s="14">
        <v>4.0</v>
      </c>
      <c r="BL87" s="14">
        <v>5.0</v>
      </c>
      <c r="BM87" s="14">
        <v>5.0</v>
      </c>
      <c r="BN87" s="14">
        <v>5.0</v>
      </c>
      <c r="BO87" s="14">
        <v>5.0</v>
      </c>
      <c r="BP87" s="14">
        <v>5.0</v>
      </c>
      <c r="BQ87" s="14">
        <v>5.0</v>
      </c>
      <c r="BR87" s="14">
        <v>5.0</v>
      </c>
      <c r="BS87" s="14">
        <v>5.0</v>
      </c>
      <c r="BT87" s="14">
        <v>4.0</v>
      </c>
      <c r="BU87" s="14">
        <v>5.0</v>
      </c>
      <c r="BV87" s="14">
        <v>5.0</v>
      </c>
      <c r="BW87" s="14">
        <v>4.0</v>
      </c>
      <c r="BX87" s="14">
        <v>5.0</v>
      </c>
      <c r="BY87" s="14">
        <v>4.0</v>
      </c>
      <c r="BZ87" s="14">
        <v>5.0</v>
      </c>
    </row>
    <row r="88" ht="22.5" customHeight="1">
      <c r="A88" s="13">
        <v>46248.40780771991</v>
      </c>
      <c r="B88" s="14" t="s">
        <v>162</v>
      </c>
      <c r="C88" s="14" t="s">
        <v>549</v>
      </c>
      <c r="D88" s="14">
        <v>2017.0</v>
      </c>
      <c r="E88" s="14" t="s">
        <v>544</v>
      </c>
      <c r="F88" s="14" t="s">
        <v>550</v>
      </c>
      <c r="G88" s="14">
        <v>4.0</v>
      </c>
      <c r="H88" s="14">
        <v>4.0</v>
      </c>
      <c r="I88" s="14">
        <v>1.0</v>
      </c>
      <c r="J88" s="14">
        <v>3.0</v>
      </c>
      <c r="K88" s="14">
        <v>1.0</v>
      </c>
      <c r="L88" s="14">
        <v>3.0</v>
      </c>
      <c r="M88" s="14">
        <v>4.0</v>
      </c>
      <c r="N88" s="14">
        <v>4.0</v>
      </c>
      <c r="O88" s="14">
        <v>4.0</v>
      </c>
      <c r="P88" s="14">
        <v>2.0</v>
      </c>
      <c r="Q88" s="14">
        <v>2.0</v>
      </c>
      <c r="R88" s="14">
        <v>3.0</v>
      </c>
      <c r="S88" s="14">
        <v>4.0</v>
      </c>
      <c r="T88" s="14">
        <v>4.0</v>
      </c>
      <c r="U88" s="14">
        <v>1.0</v>
      </c>
      <c r="V88" s="14">
        <v>3.0</v>
      </c>
      <c r="W88" s="14">
        <v>3.0</v>
      </c>
      <c r="X88" s="14">
        <v>4.0</v>
      </c>
      <c r="Y88" s="14">
        <v>4.0</v>
      </c>
      <c r="Z88" s="14">
        <v>4.0</v>
      </c>
      <c r="AA88" s="14">
        <v>1.0</v>
      </c>
      <c r="AB88" s="14">
        <v>4.0</v>
      </c>
      <c r="AC88" s="14">
        <v>3.0</v>
      </c>
      <c r="AD88" s="14">
        <v>2.0</v>
      </c>
      <c r="AE88" s="14">
        <v>4.0</v>
      </c>
      <c r="AF88" s="14">
        <v>4.0</v>
      </c>
      <c r="AG88" s="14">
        <v>3.0</v>
      </c>
      <c r="AH88" s="14">
        <v>3.0</v>
      </c>
      <c r="AI88" s="14">
        <v>3.0</v>
      </c>
      <c r="AJ88" s="14">
        <v>3.0</v>
      </c>
      <c r="AK88" s="14">
        <v>3.0</v>
      </c>
      <c r="AL88" s="14">
        <v>4.0</v>
      </c>
      <c r="AM88" s="14">
        <v>1.0</v>
      </c>
      <c r="AN88" s="14">
        <v>3.0</v>
      </c>
      <c r="AO88" s="14">
        <v>2.0</v>
      </c>
      <c r="AP88" s="14">
        <v>2.0</v>
      </c>
      <c r="AQ88" s="14">
        <v>2.0</v>
      </c>
      <c r="AR88" s="14">
        <v>4.0</v>
      </c>
      <c r="AS88" s="14">
        <v>2.0</v>
      </c>
      <c r="AT88" s="14">
        <v>3.0</v>
      </c>
      <c r="AU88" s="14">
        <v>3.0</v>
      </c>
      <c r="AV88" s="14">
        <v>2.0</v>
      </c>
      <c r="AW88" s="14">
        <v>3.0</v>
      </c>
      <c r="AX88" s="14">
        <v>2.0</v>
      </c>
      <c r="AY88" s="14">
        <v>2.0</v>
      </c>
      <c r="AZ88" s="14">
        <v>3.0</v>
      </c>
      <c r="BA88" s="14">
        <v>2.0</v>
      </c>
      <c r="BB88" s="14">
        <v>3.0</v>
      </c>
      <c r="BC88" s="14">
        <v>3.0</v>
      </c>
      <c r="BD88" s="14">
        <v>3.0</v>
      </c>
      <c r="BE88" s="14">
        <v>1.0</v>
      </c>
      <c r="BF88" s="14">
        <v>3.0</v>
      </c>
      <c r="BG88" s="14">
        <v>3.0</v>
      </c>
      <c r="BH88" s="14">
        <v>3.0</v>
      </c>
      <c r="BI88" s="14">
        <v>4.0</v>
      </c>
      <c r="BJ88" s="14">
        <v>3.0</v>
      </c>
      <c r="BK88" s="14">
        <v>3.0</v>
      </c>
      <c r="BL88" s="14">
        <v>3.0</v>
      </c>
      <c r="BM88" s="14">
        <v>3.0</v>
      </c>
      <c r="BN88" s="14">
        <v>3.0</v>
      </c>
      <c r="BO88" s="14">
        <v>4.0</v>
      </c>
      <c r="BP88" s="14">
        <v>4.0</v>
      </c>
      <c r="BQ88" s="14">
        <v>4.0</v>
      </c>
      <c r="BR88" s="14">
        <v>4.0</v>
      </c>
      <c r="BS88" s="14">
        <v>4.0</v>
      </c>
      <c r="BT88" s="14">
        <v>4.0</v>
      </c>
      <c r="BU88" s="14">
        <v>4.0</v>
      </c>
      <c r="BV88" s="14">
        <v>3.0</v>
      </c>
      <c r="BW88" s="14">
        <v>3.0</v>
      </c>
      <c r="BX88" s="14">
        <v>3.0</v>
      </c>
      <c r="BY88" s="14">
        <v>3.0</v>
      </c>
      <c r="BZ88" s="14">
        <v>3.0</v>
      </c>
    </row>
    <row r="89" ht="22.5" customHeight="1">
      <c r="A89" s="13">
        <v>46248.40780857639</v>
      </c>
      <c r="B89" s="14" t="s">
        <v>162</v>
      </c>
      <c r="C89" s="14" t="s">
        <v>553</v>
      </c>
      <c r="D89" s="14">
        <v>2026.0</v>
      </c>
      <c r="E89" s="14" t="s">
        <v>554</v>
      </c>
      <c r="F89" s="14" t="s">
        <v>555</v>
      </c>
      <c r="G89" s="14">
        <v>5.0</v>
      </c>
      <c r="H89" s="14">
        <v>5.0</v>
      </c>
      <c r="I89" s="14">
        <v>3.0</v>
      </c>
      <c r="J89" s="14">
        <v>5.0</v>
      </c>
      <c r="K89" s="14">
        <v>5.0</v>
      </c>
      <c r="L89" s="14">
        <v>5.0</v>
      </c>
      <c r="M89" s="14">
        <v>5.0</v>
      </c>
      <c r="N89" s="14">
        <v>5.0</v>
      </c>
      <c r="O89" s="14">
        <v>3.0</v>
      </c>
      <c r="P89" s="14">
        <v>5.0</v>
      </c>
      <c r="Q89" s="14">
        <v>5.0</v>
      </c>
      <c r="R89" s="14">
        <v>4.0</v>
      </c>
      <c r="S89" s="14">
        <v>5.0</v>
      </c>
      <c r="T89" s="14">
        <v>5.0</v>
      </c>
      <c r="U89" s="14">
        <v>3.0</v>
      </c>
      <c r="V89" s="14">
        <v>5.0</v>
      </c>
      <c r="W89" s="14">
        <v>5.0</v>
      </c>
      <c r="X89" s="14">
        <v>5.0</v>
      </c>
      <c r="Y89" s="14">
        <v>5.0</v>
      </c>
      <c r="Z89" s="14">
        <v>5.0</v>
      </c>
      <c r="AA89" s="14">
        <v>3.0</v>
      </c>
      <c r="AB89" s="14">
        <v>5.0</v>
      </c>
      <c r="AC89" s="14">
        <v>5.0</v>
      </c>
      <c r="AD89" s="14">
        <v>5.0</v>
      </c>
      <c r="AE89" s="14">
        <v>5.0</v>
      </c>
      <c r="AF89" s="14">
        <v>5.0</v>
      </c>
      <c r="AG89" s="14">
        <v>3.0</v>
      </c>
      <c r="AH89" s="14">
        <v>5.0</v>
      </c>
      <c r="AI89" s="14">
        <v>5.0</v>
      </c>
      <c r="AJ89" s="14">
        <v>5.0</v>
      </c>
      <c r="AK89" s="14">
        <v>5.0</v>
      </c>
      <c r="AL89" s="14">
        <v>5.0</v>
      </c>
      <c r="AM89" s="14">
        <v>3.0</v>
      </c>
      <c r="AN89" s="14">
        <v>5.0</v>
      </c>
      <c r="AO89" s="14">
        <v>4.0</v>
      </c>
      <c r="AP89" s="14">
        <v>5.0</v>
      </c>
      <c r="AQ89" s="14">
        <v>5.0</v>
      </c>
      <c r="AR89" s="14">
        <v>5.0</v>
      </c>
      <c r="AS89" s="14">
        <v>5.0</v>
      </c>
      <c r="AT89" s="14">
        <v>5.0</v>
      </c>
      <c r="AU89" s="14">
        <v>5.0</v>
      </c>
      <c r="AV89" s="14">
        <v>5.0</v>
      </c>
      <c r="AW89" s="14">
        <v>5.0</v>
      </c>
      <c r="AX89" s="14">
        <v>5.0</v>
      </c>
      <c r="AY89" s="14">
        <v>3.0</v>
      </c>
      <c r="AZ89" s="14">
        <v>5.0</v>
      </c>
      <c r="BA89" s="14">
        <v>5.0</v>
      </c>
      <c r="BB89" s="14">
        <v>4.0</v>
      </c>
      <c r="BC89" s="14">
        <v>5.0</v>
      </c>
      <c r="BD89" s="14">
        <v>5.0</v>
      </c>
      <c r="BE89" s="14">
        <v>3.0</v>
      </c>
      <c r="BF89" s="14">
        <v>5.0</v>
      </c>
      <c r="BG89" s="14">
        <v>5.0</v>
      </c>
      <c r="BH89" s="14">
        <v>5.0</v>
      </c>
      <c r="BI89" s="14">
        <v>4.0</v>
      </c>
      <c r="BJ89" s="14">
        <v>5.0</v>
      </c>
      <c r="BK89" s="14">
        <v>3.0</v>
      </c>
      <c r="BL89" s="14">
        <v>4.0</v>
      </c>
      <c r="BM89" s="14">
        <v>5.0</v>
      </c>
      <c r="BN89" s="14">
        <v>5.0</v>
      </c>
      <c r="BO89" s="14">
        <v>5.0</v>
      </c>
      <c r="BP89" s="14">
        <v>5.0</v>
      </c>
      <c r="BQ89" s="14">
        <v>5.0</v>
      </c>
      <c r="BR89" s="14">
        <v>5.0</v>
      </c>
      <c r="BS89" s="14">
        <v>5.0</v>
      </c>
      <c r="BT89" s="14">
        <v>5.0</v>
      </c>
      <c r="BU89" s="14">
        <v>5.0</v>
      </c>
      <c r="BV89" s="14">
        <v>5.0</v>
      </c>
      <c r="BW89" s="14">
        <v>4.0</v>
      </c>
      <c r="BX89" s="14">
        <v>5.0</v>
      </c>
      <c r="BY89" s="14">
        <v>5.0</v>
      </c>
      <c r="BZ89" s="14">
        <v>5.0</v>
      </c>
    </row>
    <row r="90" ht="22.5" customHeight="1">
      <c r="A90" s="13">
        <v>46248.408082256945</v>
      </c>
      <c r="B90" s="14" t="s">
        <v>162</v>
      </c>
      <c r="C90" s="14" t="s">
        <v>558</v>
      </c>
      <c r="D90" s="14">
        <v>2025.0</v>
      </c>
      <c r="E90" s="14" t="s">
        <v>173</v>
      </c>
      <c r="F90" s="14" t="s">
        <v>559</v>
      </c>
      <c r="G90" s="14">
        <v>4.0</v>
      </c>
      <c r="H90" s="14">
        <v>3.0</v>
      </c>
      <c r="I90" s="14">
        <v>1.0</v>
      </c>
      <c r="J90" s="14">
        <v>4.0</v>
      </c>
      <c r="K90" s="14">
        <v>4.0</v>
      </c>
      <c r="L90" s="14">
        <v>3.0</v>
      </c>
      <c r="M90" s="14">
        <v>3.0</v>
      </c>
      <c r="N90" s="14">
        <v>4.0</v>
      </c>
      <c r="O90" s="14">
        <v>3.0</v>
      </c>
      <c r="P90" s="14">
        <v>4.0</v>
      </c>
      <c r="Q90" s="14">
        <v>4.0</v>
      </c>
      <c r="R90" s="14">
        <v>3.0</v>
      </c>
      <c r="S90" s="14">
        <v>4.0</v>
      </c>
      <c r="T90" s="14">
        <v>4.0</v>
      </c>
      <c r="U90" s="14">
        <v>1.0</v>
      </c>
      <c r="V90" s="14">
        <v>3.0</v>
      </c>
      <c r="W90" s="14">
        <v>3.0</v>
      </c>
      <c r="X90" s="14">
        <v>2.0</v>
      </c>
      <c r="Y90" s="14">
        <v>2.0</v>
      </c>
      <c r="Z90" s="14">
        <v>4.0</v>
      </c>
      <c r="AA90" s="14">
        <v>3.0</v>
      </c>
      <c r="AB90" s="14">
        <v>5.0</v>
      </c>
      <c r="AC90" s="14">
        <v>4.0</v>
      </c>
      <c r="AD90" s="14">
        <v>4.0</v>
      </c>
      <c r="AE90" s="14">
        <v>2.0</v>
      </c>
      <c r="AF90" s="14">
        <v>4.0</v>
      </c>
      <c r="AG90" s="14">
        <v>3.0</v>
      </c>
      <c r="AH90" s="14">
        <v>5.0</v>
      </c>
      <c r="AI90" s="14">
        <v>4.0</v>
      </c>
      <c r="AJ90" s="14">
        <v>4.0</v>
      </c>
      <c r="AK90" s="14">
        <v>4.0</v>
      </c>
      <c r="AL90" s="14">
        <v>3.0</v>
      </c>
      <c r="AM90" s="14">
        <v>1.0</v>
      </c>
      <c r="AN90" s="14">
        <v>4.0</v>
      </c>
      <c r="AO90" s="14">
        <v>5.0</v>
      </c>
      <c r="AP90" s="14">
        <v>3.0</v>
      </c>
      <c r="AQ90" s="14">
        <v>4.0</v>
      </c>
      <c r="AR90" s="14">
        <v>4.0</v>
      </c>
      <c r="AS90" s="14">
        <v>4.0</v>
      </c>
      <c r="AT90" s="14">
        <v>5.0</v>
      </c>
      <c r="AU90" s="14">
        <v>5.0</v>
      </c>
      <c r="AV90" s="14">
        <v>4.0</v>
      </c>
      <c r="AW90" s="14">
        <v>3.0</v>
      </c>
      <c r="AX90" s="14">
        <v>4.0</v>
      </c>
      <c r="AY90" s="14">
        <v>4.0</v>
      </c>
      <c r="AZ90" s="14">
        <v>4.0</v>
      </c>
      <c r="BA90" s="14">
        <v>4.0</v>
      </c>
      <c r="BB90" s="14">
        <v>4.0</v>
      </c>
      <c r="BC90" s="14">
        <v>4.0</v>
      </c>
      <c r="BD90" s="14">
        <v>3.0</v>
      </c>
      <c r="BE90" s="14">
        <v>1.0</v>
      </c>
      <c r="BF90" s="14">
        <v>5.0</v>
      </c>
      <c r="BG90" s="14">
        <v>4.0</v>
      </c>
      <c r="BH90" s="14">
        <v>5.0</v>
      </c>
      <c r="BI90" s="14">
        <v>4.0</v>
      </c>
      <c r="BJ90" s="14">
        <v>4.0</v>
      </c>
      <c r="BK90" s="14">
        <v>3.0</v>
      </c>
      <c r="BL90" s="14">
        <v>4.0</v>
      </c>
      <c r="BM90" s="14">
        <v>4.0</v>
      </c>
      <c r="BN90" s="14">
        <v>5.0</v>
      </c>
      <c r="BO90" s="14">
        <v>5.0</v>
      </c>
      <c r="BP90" s="14">
        <v>3.0</v>
      </c>
      <c r="BQ90" s="14">
        <v>4.0</v>
      </c>
      <c r="BR90" s="14">
        <v>4.0</v>
      </c>
      <c r="BS90" s="14">
        <v>4.0</v>
      </c>
      <c r="BT90" s="14">
        <v>5.0</v>
      </c>
      <c r="BU90" s="14">
        <v>3.0</v>
      </c>
      <c r="BV90" s="14">
        <v>3.0</v>
      </c>
      <c r="BW90" s="14">
        <v>5.0</v>
      </c>
      <c r="BX90" s="14">
        <v>4.0</v>
      </c>
      <c r="BY90" s="14">
        <v>4.0</v>
      </c>
      <c r="BZ90" s="14">
        <v>5.0</v>
      </c>
    </row>
    <row r="91" ht="22.5" customHeight="1">
      <c r="A91" s="13">
        <v>46248.40882347222</v>
      </c>
      <c r="B91" s="14" t="s">
        <v>162</v>
      </c>
      <c r="C91" s="14" t="s">
        <v>563</v>
      </c>
      <c r="D91" s="14">
        <v>2024.0</v>
      </c>
      <c r="E91" s="14" t="s">
        <v>219</v>
      </c>
      <c r="F91" s="14" t="s">
        <v>564</v>
      </c>
      <c r="G91" s="14">
        <v>2.0</v>
      </c>
      <c r="H91" s="14">
        <v>3.0</v>
      </c>
      <c r="I91" s="14">
        <v>3.0</v>
      </c>
      <c r="J91" s="14">
        <v>4.0</v>
      </c>
      <c r="K91" s="14">
        <v>3.0</v>
      </c>
      <c r="L91" s="14">
        <v>2.0</v>
      </c>
      <c r="M91" s="14">
        <v>2.0</v>
      </c>
      <c r="N91" s="14">
        <v>2.0</v>
      </c>
      <c r="O91" s="14">
        <v>3.0</v>
      </c>
      <c r="P91" s="14">
        <v>4.0</v>
      </c>
      <c r="Q91" s="14">
        <v>3.0</v>
      </c>
      <c r="R91" s="14">
        <v>3.0</v>
      </c>
      <c r="S91" s="14">
        <v>2.0</v>
      </c>
      <c r="T91" s="14">
        <v>3.0</v>
      </c>
      <c r="U91" s="14">
        <v>3.0</v>
      </c>
      <c r="V91" s="14">
        <v>3.0</v>
      </c>
      <c r="W91" s="14">
        <v>2.0</v>
      </c>
      <c r="X91" s="14">
        <v>2.0</v>
      </c>
      <c r="Y91" s="14">
        <v>2.0</v>
      </c>
      <c r="Z91" s="14">
        <v>2.0</v>
      </c>
      <c r="AA91" s="14">
        <v>2.0</v>
      </c>
      <c r="AB91" s="14">
        <v>3.0</v>
      </c>
      <c r="AC91" s="14">
        <v>3.0</v>
      </c>
      <c r="AD91" s="14">
        <v>3.0</v>
      </c>
      <c r="AE91" s="14">
        <v>2.0</v>
      </c>
      <c r="AF91" s="14">
        <v>3.0</v>
      </c>
      <c r="AG91" s="14">
        <v>3.0</v>
      </c>
      <c r="AH91" s="14">
        <v>4.0</v>
      </c>
      <c r="AI91" s="14">
        <v>3.0</v>
      </c>
      <c r="AJ91" s="14">
        <v>3.0</v>
      </c>
      <c r="AK91" s="14">
        <v>3.0</v>
      </c>
      <c r="AL91" s="14">
        <v>3.0</v>
      </c>
      <c r="AM91" s="14">
        <v>4.0</v>
      </c>
      <c r="AN91" s="14">
        <v>2.0</v>
      </c>
      <c r="AO91" s="14">
        <v>2.0</v>
      </c>
      <c r="AP91" s="14">
        <v>2.0</v>
      </c>
      <c r="AQ91" s="14">
        <v>2.0</v>
      </c>
      <c r="AR91" s="14">
        <v>2.0</v>
      </c>
      <c r="AS91" s="14">
        <v>4.0</v>
      </c>
      <c r="AT91" s="14">
        <v>4.0</v>
      </c>
      <c r="AU91" s="14">
        <v>4.0</v>
      </c>
      <c r="AV91" s="14">
        <v>3.0</v>
      </c>
      <c r="AW91" s="14">
        <v>3.0</v>
      </c>
      <c r="AX91" s="14">
        <v>3.0</v>
      </c>
      <c r="AY91" s="14">
        <v>3.0</v>
      </c>
      <c r="AZ91" s="14">
        <v>3.0</v>
      </c>
      <c r="BA91" s="14">
        <v>3.0</v>
      </c>
      <c r="BB91" s="14">
        <v>3.0</v>
      </c>
      <c r="BC91" s="14">
        <v>3.0</v>
      </c>
      <c r="BD91" s="14">
        <v>3.0</v>
      </c>
      <c r="BE91" s="14">
        <v>2.0</v>
      </c>
      <c r="BF91" s="14">
        <v>3.0</v>
      </c>
      <c r="BG91" s="14">
        <v>3.0</v>
      </c>
      <c r="BH91" s="14">
        <v>3.0</v>
      </c>
      <c r="BI91" s="14">
        <v>2.0</v>
      </c>
      <c r="BJ91" s="14">
        <v>3.0</v>
      </c>
      <c r="BK91" s="14">
        <v>3.0</v>
      </c>
      <c r="BL91" s="14">
        <v>3.0</v>
      </c>
      <c r="BM91" s="14">
        <v>3.0</v>
      </c>
      <c r="BN91" s="14">
        <v>3.0</v>
      </c>
      <c r="BO91" s="14">
        <v>2.0</v>
      </c>
      <c r="BP91" s="14">
        <v>2.0</v>
      </c>
      <c r="BQ91" s="14">
        <v>3.0</v>
      </c>
      <c r="BR91" s="14">
        <v>4.0</v>
      </c>
      <c r="BS91" s="14">
        <v>4.0</v>
      </c>
      <c r="BT91" s="14">
        <v>4.0</v>
      </c>
      <c r="BU91" s="14">
        <v>2.0</v>
      </c>
      <c r="BV91" s="14">
        <v>2.0</v>
      </c>
      <c r="BW91" s="14">
        <v>3.0</v>
      </c>
      <c r="BX91" s="14">
        <v>3.0</v>
      </c>
      <c r="BY91" s="14">
        <v>2.0</v>
      </c>
      <c r="BZ91" s="14">
        <v>3.0</v>
      </c>
    </row>
    <row r="92" ht="22.5" customHeight="1">
      <c r="A92" s="13">
        <v>46248.409141550925</v>
      </c>
      <c r="B92" s="14" t="s">
        <v>162</v>
      </c>
      <c r="C92" s="14" t="s">
        <v>568</v>
      </c>
      <c r="D92" s="14">
        <v>2026.0</v>
      </c>
      <c r="E92" s="14" t="s">
        <v>365</v>
      </c>
      <c r="F92" s="14" t="s">
        <v>569</v>
      </c>
      <c r="G92" s="14">
        <v>3.0</v>
      </c>
      <c r="H92" s="14">
        <v>3.0</v>
      </c>
      <c r="I92" s="14">
        <v>3.0</v>
      </c>
      <c r="J92" s="14">
        <v>4.0</v>
      </c>
      <c r="K92" s="14">
        <v>3.0</v>
      </c>
      <c r="L92" s="14">
        <v>2.0</v>
      </c>
      <c r="M92" s="14">
        <v>4.0</v>
      </c>
      <c r="N92" s="14">
        <v>2.0</v>
      </c>
      <c r="O92" s="14">
        <v>2.0</v>
      </c>
      <c r="P92" s="14">
        <v>4.0</v>
      </c>
      <c r="Q92" s="14">
        <v>2.0</v>
      </c>
      <c r="R92" s="14">
        <v>4.0</v>
      </c>
      <c r="S92" s="14">
        <v>3.0</v>
      </c>
      <c r="T92" s="14">
        <v>2.0</v>
      </c>
      <c r="U92" s="14">
        <v>3.0</v>
      </c>
      <c r="V92" s="14">
        <v>3.0</v>
      </c>
      <c r="W92" s="14">
        <v>3.0</v>
      </c>
      <c r="X92" s="14">
        <v>2.0</v>
      </c>
      <c r="Y92" s="14">
        <v>3.0</v>
      </c>
      <c r="Z92" s="14">
        <v>3.0</v>
      </c>
      <c r="AA92" s="14">
        <v>4.0</v>
      </c>
      <c r="AB92" s="14">
        <v>4.0</v>
      </c>
      <c r="AC92" s="14">
        <v>4.0</v>
      </c>
      <c r="AD92" s="14">
        <v>2.0</v>
      </c>
      <c r="AE92" s="14">
        <v>2.0</v>
      </c>
      <c r="AF92" s="14">
        <v>4.0</v>
      </c>
      <c r="AG92" s="14">
        <v>3.0</v>
      </c>
      <c r="AH92" s="14">
        <v>4.0</v>
      </c>
      <c r="AI92" s="14">
        <v>3.0</v>
      </c>
      <c r="AJ92" s="14">
        <v>4.0</v>
      </c>
      <c r="AK92" s="14">
        <v>3.0</v>
      </c>
      <c r="AL92" s="14">
        <v>3.0</v>
      </c>
      <c r="AM92" s="14">
        <v>4.0</v>
      </c>
      <c r="AN92" s="14">
        <v>3.0</v>
      </c>
      <c r="AO92" s="14">
        <v>2.0</v>
      </c>
      <c r="AP92" s="14">
        <v>3.0</v>
      </c>
      <c r="AQ92" s="14">
        <v>3.0</v>
      </c>
      <c r="AR92" s="14">
        <v>3.0</v>
      </c>
      <c r="AS92" s="14">
        <v>3.0</v>
      </c>
      <c r="AT92" s="14">
        <v>4.0</v>
      </c>
      <c r="AU92" s="14">
        <v>2.0</v>
      </c>
      <c r="AV92" s="14">
        <v>4.0</v>
      </c>
      <c r="AW92" s="14">
        <v>3.0</v>
      </c>
      <c r="AX92" s="14">
        <v>3.0</v>
      </c>
      <c r="AY92" s="14">
        <v>3.0</v>
      </c>
      <c r="AZ92" s="14">
        <v>4.0</v>
      </c>
      <c r="BA92" s="14">
        <v>4.0</v>
      </c>
      <c r="BB92" s="14">
        <v>3.0</v>
      </c>
      <c r="BC92" s="14">
        <v>3.0</v>
      </c>
      <c r="BD92" s="14">
        <v>2.0</v>
      </c>
      <c r="BE92" s="14">
        <v>3.0</v>
      </c>
      <c r="BF92" s="14">
        <v>3.0</v>
      </c>
      <c r="BG92" s="14">
        <v>4.0</v>
      </c>
      <c r="BH92" s="14">
        <v>4.0</v>
      </c>
      <c r="BI92" s="14">
        <v>3.0</v>
      </c>
      <c r="BJ92" s="14">
        <v>3.0</v>
      </c>
      <c r="BK92" s="14">
        <v>2.0</v>
      </c>
      <c r="BL92" s="14">
        <v>3.0</v>
      </c>
      <c r="BM92" s="14">
        <v>2.0</v>
      </c>
      <c r="BN92" s="14">
        <v>3.0</v>
      </c>
      <c r="BO92" s="14">
        <v>3.0</v>
      </c>
      <c r="BP92" s="14">
        <v>3.0</v>
      </c>
      <c r="BQ92" s="14">
        <v>4.0</v>
      </c>
      <c r="BR92" s="14">
        <v>3.0</v>
      </c>
      <c r="BS92" s="14">
        <v>3.0</v>
      </c>
      <c r="BT92" s="14">
        <v>3.0</v>
      </c>
      <c r="BU92" s="14">
        <v>4.0</v>
      </c>
      <c r="BV92" s="14">
        <v>3.0</v>
      </c>
      <c r="BW92" s="14">
        <v>3.0</v>
      </c>
      <c r="BX92" s="14">
        <v>3.0</v>
      </c>
      <c r="BY92" s="14">
        <v>3.0</v>
      </c>
      <c r="BZ92" s="14">
        <v>3.0</v>
      </c>
    </row>
    <row r="93" ht="22.5" customHeight="1">
      <c r="A93" s="13">
        <v>46248.409292094904</v>
      </c>
      <c r="B93" s="14" t="s">
        <v>162</v>
      </c>
      <c r="C93" s="14" t="s">
        <v>572</v>
      </c>
      <c r="D93" s="14">
        <v>2020.0</v>
      </c>
      <c r="E93" s="14" t="s">
        <v>365</v>
      </c>
      <c r="F93" s="14" t="s">
        <v>573</v>
      </c>
      <c r="G93" s="14">
        <v>4.0</v>
      </c>
      <c r="H93" s="14">
        <v>3.0</v>
      </c>
      <c r="I93" s="14">
        <v>4.0</v>
      </c>
      <c r="J93" s="14">
        <v>4.0</v>
      </c>
      <c r="K93" s="14">
        <v>4.0</v>
      </c>
      <c r="L93" s="14">
        <v>1.0</v>
      </c>
      <c r="M93" s="14">
        <v>4.0</v>
      </c>
      <c r="N93" s="14">
        <v>2.0</v>
      </c>
      <c r="O93" s="14">
        <v>3.0</v>
      </c>
      <c r="P93" s="14">
        <v>3.0</v>
      </c>
      <c r="Q93" s="14">
        <v>1.0</v>
      </c>
      <c r="R93" s="14">
        <v>3.0</v>
      </c>
      <c r="S93" s="14">
        <v>4.0</v>
      </c>
      <c r="T93" s="14">
        <v>1.0</v>
      </c>
      <c r="U93" s="14">
        <v>4.0</v>
      </c>
      <c r="V93" s="14">
        <v>4.0</v>
      </c>
      <c r="W93" s="14">
        <v>2.0</v>
      </c>
      <c r="X93" s="14">
        <v>2.0</v>
      </c>
      <c r="Y93" s="14">
        <v>2.0</v>
      </c>
      <c r="Z93" s="14">
        <v>2.0</v>
      </c>
      <c r="AA93" s="14">
        <v>1.0</v>
      </c>
      <c r="AB93" s="14">
        <v>1.0</v>
      </c>
      <c r="AC93" s="14">
        <v>2.0</v>
      </c>
      <c r="AD93" s="14">
        <v>1.0</v>
      </c>
      <c r="AE93" s="14">
        <v>1.0</v>
      </c>
      <c r="AF93" s="14">
        <v>1.0</v>
      </c>
      <c r="AG93" s="14">
        <v>2.0</v>
      </c>
      <c r="AH93" s="14">
        <v>3.0</v>
      </c>
      <c r="AI93" s="14">
        <v>2.0</v>
      </c>
      <c r="AJ93" s="14">
        <v>3.0</v>
      </c>
      <c r="AK93" s="14">
        <v>3.0</v>
      </c>
      <c r="AL93" s="14">
        <v>1.0</v>
      </c>
      <c r="AM93" s="14">
        <v>2.0</v>
      </c>
      <c r="AN93" s="14">
        <v>2.0</v>
      </c>
      <c r="AO93" s="14">
        <v>1.0</v>
      </c>
      <c r="AP93" s="14">
        <v>1.0</v>
      </c>
      <c r="AQ93" s="14">
        <v>4.0</v>
      </c>
      <c r="AR93" s="14">
        <v>3.0</v>
      </c>
      <c r="AS93" s="14">
        <v>4.0</v>
      </c>
      <c r="AT93" s="14">
        <v>4.0</v>
      </c>
      <c r="AU93" s="14">
        <v>2.0</v>
      </c>
      <c r="AV93" s="14">
        <v>2.0</v>
      </c>
      <c r="AW93" s="14">
        <v>3.0</v>
      </c>
      <c r="AX93" s="14">
        <v>2.0</v>
      </c>
      <c r="AY93" s="14">
        <v>3.0</v>
      </c>
      <c r="AZ93" s="14">
        <v>2.0</v>
      </c>
      <c r="BA93" s="14">
        <v>4.0</v>
      </c>
      <c r="BB93" s="14">
        <v>3.0</v>
      </c>
      <c r="BC93" s="14">
        <v>4.0</v>
      </c>
      <c r="BD93" s="14">
        <v>3.0</v>
      </c>
      <c r="BE93" s="14">
        <v>3.0</v>
      </c>
      <c r="BF93" s="14">
        <v>4.0</v>
      </c>
      <c r="BG93" s="14">
        <v>4.0</v>
      </c>
      <c r="BH93" s="14">
        <v>3.0</v>
      </c>
      <c r="BI93" s="14">
        <v>3.0</v>
      </c>
      <c r="BJ93" s="14">
        <v>2.0</v>
      </c>
      <c r="BK93" s="14">
        <v>2.0</v>
      </c>
      <c r="BL93" s="14">
        <v>4.0</v>
      </c>
      <c r="BM93" s="14">
        <v>3.0</v>
      </c>
      <c r="BN93" s="14">
        <v>3.0</v>
      </c>
      <c r="BO93" s="14">
        <v>2.0</v>
      </c>
      <c r="BP93" s="14">
        <v>2.0</v>
      </c>
      <c r="BQ93" s="14">
        <v>1.0</v>
      </c>
      <c r="BR93" s="14">
        <v>4.0</v>
      </c>
      <c r="BS93" s="14">
        <v>4.0</v>
      </c>
      <c r="BT93" s="14">
        <v>3.0</v>
      </c>
      <c r="BU93" s="14">
        <v>3.0</v>
      </c>
      <c r="BV93" s="14">
        <v>2.0</v>
      </c>
      <c r="BW93" s="14">
        <v>3.0</v>
      </c>
      <c r="BX93" s="14">
        <v>4.0</v>
      </c>
      <c r="BY93" s="14">
        <v>2.0</v>
      </c>
      <c r="BZ93" s="14">
        <v>3.0</v>
      </c>
    </row>
    <row r="94" ht="22.5" customHeight="1">
      <c r="A94" s="13">
        <v>46248.4095192824</v>
      </c>
      <c r="B94" s="14" t="s">
        <v>162</v>
      </c>
      <c r="C94" s="14" t="s">
        <v>577</v>
      </c>
      <c r="D94" s="14">
        <v>2024.0</v>
      </c>
      <c r="E94" s="14" t="s">
        <v>219</v>
      </c>
      <c r="F94" s="14" t="s">
        <v>578</v>
      </c>
      <c r="G94" s="14">
        <v>4.0</v>
      </c>
      <c r="H94" s="14">
        <v>3.0</v>
      </c>
      <c r="I94" s="14">
        <v>2.0</v>
      </c>
      <c r="J94" s="14">
        <v>4.0</v>
      </c>
      <c r="K94" s="14">
        <v>4.0</v>
      </c>
      <c r="L94" s="14">
        <v>4.0</v>
      </c>
      <c r="M94" s="14">
        <v>4.0</v>
      </c>
      <c r="N94" s="14">
        <v>4.0</v>
      </c>
      <c r="O94" s="14">
        <v>4.0</v>
      </c>
      <c r="P94" s="14">
        <v>4.0</v>
      </c>
      <c r="Q94" s="14">
        <v>4.0</v>
      </c>
      <c r="R94" s="14">
        <v>4.0</v>
      </c>
      <c r="S94" s="14">
        <v>4.0</v>
      </c>
      <c r="T94" s="14">
        <v>4.0</v>
      </c>
      <c r="U94" s="14">
        <v>2.0</v>
      </c>
      <c r="V94" s="14">
        <v>4.0</v>
      </c>
      <c r="W94" s="14">
        <v>3.0</v>
      </c>
      <c r="X94" s="14">
        <v>3.0</v>
      </c>
      <c r="Y94" s="14">
        <v>3.0</v>
      </c>
      <c r="Z94" s="14">
        <v>3.0</v>
      </c>
      <c r="AA94" s="14">
        <v>2.0</v>
      </c>
      <c r="AB94" s="14">
        <v>3.0</v>
      </c>
      <c r="AC94" s="14">
        <v>4.0</v>
      </c>
      <c r="AD94" s="14">
        <v>3.0</v>
      </c>
      <c r="AE94" s="14">
        <v>2.0</v>
      </c>
      <c r="AF94" s="14">
        <v>4.0</v>
      </c>
      <c r="AG94" s="14">
        <v>3.0</v>
      </c>
      <c r="AH94" s="14">
        <v>5.0</v>
      </c>
      <c r="AI94" s="14">
        <v>3.0</v>
      </c>
      <c r="AJ94" s="14">
        <v>4.0</v>
      </c>
      <c r="AK94" s="14">
        <v>3.0</v>
      </c>
      <c r="AL94" s="14">
        <v>4.0</v>
      </c>
      <c r="AM94" s="14">
        <v>2.0</v>
      </c>
      <c r="AN94" s="14">
        <v>3.0</v>
      </c>
      <c r="AO94" s="14">
        <v>3.0</v>
      </c>
      <c r="AP94" s="14">
        <v>2.0</v>
      </c>
      <c r="AQ94" s="14">
        <v>3.0</v>
      </c>
      <c r="AR94" s="14">
        <v>3.0</v>
      </c>
      <c r="AS94" s="14">
        <v>3.0</v>
      </c>
      <c r="AT94" s="14">
        <v>3.0</v>
      </c>
      <c r="AU94" s="14">
        <v>4.0</v>
      </c>
      <c r="AV94" s="14">
        <v>4.0</v>
      </c>
      <c r="AW94" s="14">
        <v>3.0</v>
      </c>
      <c r="AX94" s="14">
        <v>3.0</v>
      </c>
      <c r="AY94" s="14">
        <v>4.0</v>
      </c>
      <c r="AZ94" s="14">
        <v>4.0</v>
      </c>
      <c r="BA94" s="14">
        <v>4.0</v>
      </c>
      <c r="BB94" s="14">
        <v>5.0</v>
      </c>
      <c r="BC94" s="14">
        <v>3.0</v>
      </c>
      <c r="BD94" s="14">
        <v>4.0</v>
      </c>
      <c r="BE94" s="14">
        <v>2.0</v>
      </c>
      <c r="BF94" s="14">
        <v>4.0</v>
      </c>
      <c r="BG94" s="14">
        <v>4.0</v>
      </c>
      <c r="BH94" s="14">
        <v>4.0</v>
      </c>
      <c r="BI94" s="14">
        <v>4.0</v>
      </c>
      <c r="BJ94" s="14">
        <v>4.0</v>
      </c>
      <c r="BK94" s="14">
        <v>4.0</v>
      </c>
      <c r="BL94" s="14">
        <v>3.0</v>
      </c>
      <c r="BM94" s="14">
        <v>5.0</v>
      </c>
      <c r="BN94" s="14">
        <v>4.0</v>
      </c>
      <c r="BO94" s="14">
        <v>4.0</v>
      </c>
      <c r="BP94" s="14">
        <v>3.0</v>
      </c>
      <c r="BQ94" s="14">
        <v>4.0</v>
      </c>
      <c r="BR94" s="14">
        <v>4.0</v>
      </c>
      <c r="BS94" s="14">
        <v>4.0</v>
      </c>
      <c r="BT94" s="14">
        <v>4.0</v>
      </c>
      <c r="BU94" s="14">
        <v>4.0</v>
      </c>
      <c r="BV94" s="14">
        <v>4.0</v>
      </c>
      <c r="BW94" s="14">
        <v>4.0</v>
      </c>
      <c r="BX94" s="14">
        <v>3.0</v>
      </c>
      <c r="BY94" s="14">
        <v>4.0</v>
      </c>
      <c r="BZ94" s="14">
        <v>4.0</v>
      </c>
    </row>
    <row r="95" ht="22.5" customHeight="1">
      <c r="A95" s="13">
        <v>46248.40974069445</v>
      </c>
      <c r="B95" s="14" t="s">
        <v>162</v>
      </c>
      <c r="C95" s="14" t="s">
        <v>581</v>
      </c>
      <c r="D95" s="14">
        <v>2026.0</v>
      </c>
      <c r="E95" s="14" t="s">
        <v>245</v>
      </c>
      <c r="F95" s="14" t="s">
        <v>582</v>
      </c>
      <c r="G95" s="14">
        <v>2.0</v>
      </c>
      <c r="H95" s="14">
        <v>2.0</v>
      </c>
      <c r="I95" s="14">
        <v>4.0</v>
      </c>
      <c r="J95" s="14">
        <v>5.0</v>
      </c>
      <c r="K95" s="14">
        <v>3.0</v>
      </c>
      <c r="L95" s="14">
        <v>3.0</v>
      </c>
      <c r="M95" s="14">
        <v>3.0</v>
      </c>
      <c r="N95" s="14">
        <v>2.0</v>
      </c>
      <c r="O95" s="14">
        <v>4.0</v>
      </c>
      <c r="P95" s="14">
        <v>5.0</v>
      </c>
      <c r="Q95" s="14">
        <v>3.0</v>
      </c>
      <c r="R95" s="14">
        <v>4.0</v>
      </c>
      <c r="S95" s="14">
        <v>4.0</v>
      </c>
      <c r="T95" s="14">
        <v>3.0</v>
      </c>
      <c r="U95" s="14">
        <v>4.0</v>
      </c>
      <c r="V95" s="14">
        <v>5.0</v>
      </c>
      <c r="W95" s="14">
        <v>4.0</v>
      </c>
      <c r="X95" s="14">
        <v>4.0</v>
      </c>
      <c r="Y95" s="14">
        <v>4.0</v>
      </c>
      <c r="Z95" s="14">
        <v>3.0</v>
      </c>
      <c r="AA95" s="14">
        <v>5.0</v>
      </c>
      <c r="AB95" s="14">
        <v>5.0</v>
      </c>
      <c r="AC95" s="14">
        <v>5.0</v>
      </c>
      <c r="AD95" s="14">
        <v>4.0</v>
      </c>
      <c r="AE95" s="14">
        <v>3.0</v>
      </c>
      <c r="AF95" s="14">
        <v>3.0</v>
      </c>
      <c r="AG95" s="14">
        <v>4.0</v>
      </c>
      <c r="AH95" s="14">
        <v>4.0</v>
      </c>
      <c r="AI95" s="14">
        <v>4.0</v>
      </c>
      <c r="AJ95" s="14">
        <v>4.0</v>
      </c>
      <c r="AK95" s="14">
        <v>4.0</v>
      </c>
      <c r="AL95" s="14">
        <v>4.0</v>
      </c>
      <c r="AM95" s="14">
        <v>4.0</v>
      </c>
      <c r="AN95" s="14">
        <v>5.0</v>
      </c>
      <c r="AO95" s="14">
        <v>3.0</v>
      </c>
      <c r="AP95" s="14">
        <v>1.0</v>
      </c>
      <c r="AQ95" s="14">
        <v>3.0</v>
      </c>
      <c r="AR95" s="14">
        <v>4.0</v>
      </c>
      <c r="AS95" s="14">
        <v>5.0</v>
      </c>
      <c r="AT95" s="14">
        <v>5.0</v>
      </c>
      <c r="AU95" s="14">
        <v>4.0</v>
      </c>
      <c r="AV95" s="14">
        <v>4.0</v>
      </c>
      <c r="AW95" s="14">
        <v>2.0</v>
      </c>
      <c r="AX95" s="14">
        <v>4.0</v>
      </c>
      <c r="AY95" s="14">
        <v>3.0</v>
      </c>
      <c r="AZ95" s="14">
        <v>5.0</v>
      </c>
      <c r="BA95" s="14">
        <v>5.0</v>
      </c>
      <c r="BB95" s="14">
        <v>3.0</v>
      </c>
      <c r="BC95" s="14">
        <v>4.0</v>
      </c>
      <c r="BD95" s="14">
        <v>4.0</v>
      </c>
      <c r="BE95" s="14">
        <v>4.0</v>
      </c>
      <c r="BF95" s="14">
        <v>5.0</v>
      </c>
      <c r="BG95" s="14">
        <v>5.0</v>
      </c>
      <c r="BH95" s="14">
        <v>4.0</v>
      </c>
      <c r="BI95" s="14">
        <v>4.0</v>
      </c>
      <c r="BJ95" s="14">
        <v>4.0</v>
      </c>
      <c r="BK95" s="14">
        <v>4.0</v>
      </c>
      <c r="BL95" s="14">
        <v>4.0</v>
      </c>
      <c r="BM95" s="14">
        <v>5.0</v>
      </c>
      <c r="BN95" s="14">
        <v>4.0</v>
      </c>
      <c r="BO95" s="14">
        <v>4.0</v>
      </c>
      <c r="BP95" s="14">
        <v>2.0</v>
      </c>
      <c r="BQ95" s="14">
        <v>3.0</v>
      </c>
      <c r="BR95" s="14">
        <v>5.0</v>
      </c>
      <c r="BS95" s="14">
        <v>4.0</v>
      </c>
      <c r="BT95" s="14">
        <v>5.0</v>
      </c>
      <c r="BU95" s="14">
        <v>3.0</v>
      </c>
      <c r="BV95" s="14">
        <v>3.0</v>
      </c>
      <c r="BW95" s="14">
        <v>5.0</v>
      </c>
      <c r="BX95" s="14">
        <v>5.0</v>
      </c>
      <c r="BY95" s="14">
        <v>5.0</v>
      </c>
      <c r="BZ95" s="14">
        <v>5.0</v>
      </c>
    </row>
    <row r="96" ht="22.5" customHeight="1">
      <c r="A96" s="13">
        <v>46248.409806180556</v>
      </c>
      <c r="B96" s="14" t="s">
        <v>162</v>
      </c>
      <c r="C96" s="14" t="s">
        <v>585</v>
      </c>
      <c r="D96" s="14">
        <v>2025.0</v>
      </c>
      <c r="E96" s="14" t="s">
        <v>365</v>
      </c>
      <c r="F96" s="14" t="s">
        <v>586</v>
      </c>
      <c r="G96" s="14">
        <v>2.0</v>
      </c>
      <c r="H96" s="14">
        <v>2.0</v>
      </c>
      <c r="I96" s="14">
        <v>2.0</v>
      </c>
      <c r="J96" s="14">
        <v>3.0</v>
      </c>
      <c r="K96" s="14">
        <v>2.0</v>
      </c>
      <c r="L96" s="14">
        <v>2.0</v>
      </c>
      <c r="M96" s="14">
        <v>3.0</v>
      </c>
      <c r="N96" s="14">
        <v>2.0</v>
      </c>
      <c r="O96" s="14">
        <v>2.0</v>
      </c>
      <c r="P96" s="14">
        <v>2.0</v>
      </c>
      <c r="Q96" s="14">
        <v>2.0</v>
      </c>
      <c r="R96" s="14">
        <v>2.0</v>
      </c>
      <c r="S96" s="14">
        <v>2.0</v>
      </c>
      <c r="T96" s="14">
        <v>3.0</v>
      </c>
      <c r="U96" s="14">
        <v>2.0</v>
      </c>
      <c r="V96" s="14">
        <v>2.0</v>
      </c>
      <c r="W96" s="14">
        <v>3.0</v>
      </c>
      <c r="X96" s="14">
        <v>2.0</v>
      </c>
      <c r="Y96" s="14">
        <v>3.0</v>
      </c>
      <c r="Z96" s="14">
        <v>3.0</v>
      </c>
      <c r="AA96" s="14">
        <v>3.0</v>
      </c>
      <c r="AB96" s="14">
        <v>3.0</v>
      </c>
      <c r="AC96" s="14">
        <v>2.0</v>
      </c>
      <c r="AD96" s="14">
        <v>2.0</v>
      </c>
      <c r="AE96" s="14">
        <v>3.0</v>
      </c>
      <c r="AF96" s="14">
        <v>2.0</v>
      </c>
      <c r="AG96" s="14">
        <v>3.0</v>
      </c>
      <c r="AH96" s="14">
        <v>3.0</v>
      </c>
      <c r="AI96" s="14">
        <v>3.0</v>
      </c>
      <c r="AJ96" s="14">
        <v>2.0</v>
      </c>
      <c r="AK96" s="14">
        <v>2.0</v>
      </c>
      <c r="AL96" s="14">
        <v>3.0</v>
      </c>
      <c r="AM96" s="14">
        <v>2.0</v>
      </c>
      <c r="AN96" s="14">
        <v>2.0</v>
      </c>
      <c r="AO96" s="14">
        <v>1.0</v>
      </c>
      <c r="AP96" s="14">
        <v>2.0</v>
      </c>
      <c r="AQ96" s="14">
        <v>1.0</v>
      </c>
      <c r="AR96" s="14">
        <v>2.0</v>
      </c>
      <c r="AS96" s="14">
        <v>2.0</v>
      </c>
      <c r="AT96" s="14">
        <v>3.0</v>
      </c>
      <c r="AU96" s="14">
        <v>3.0</v>
      </c>
      <c r="AV96" s="14">
        <v>3.0</v>
      </c>
      <c r="AW96" s="14">
        <v>2.0</v>
      </c>
      <c r="AX96" s="14">
        <v>2.0</v>
      </c>
      <c r="AY96" s="14">
        <v>3.0</v>
      </c>
      <c r="AZ96" s="14">
        <v>3.0</v>
      </c>
      <c r="BA96" s="14">
        <v>4.0</v>
      </c>
      <c r="BB96" s="14">
        <v>3.0</v>
      </c>
      <c r="BC96" s="14">
        <v>3.0</v>
      </c>
      <c r="BD96" s="14">
        <v>3.0</v>
      </c>
      <c r="BE96" s="14">
        <v>2.0</v>
      </c>
      <c r="BF96" s="14">
        <v>3.0</v>
      </c>
      <c r="BG96" s="14">
        <v>3.0</v>
      </c>
      <c r="BH96" s="14">
        <v>3.0</v>
      </c>
      <c r="BI96" s="14">
        <v>3.0</v>
      </c>
      <c r="BJ96" s="14">
        <v>3.0</v>
      </c>
      <c r="BK96" s="14">
        <v>2.0</v>
      </c>
      <c r="BL96" s="14">
        <v>3.0</v>
      </c>
      <c r="BM96" s="14">
        <v>3.0</v>
      </c>
      <c r="BN96" s="14">
        <v>2.0</v>
      </c>
      <c r="BO96" s="14">
        <v>4.0</v>
      </c>
      <c r="BP96" s="14">
        <v>3.0</v>
      </c>
      <c r="BQ96" s="14">
        <v>3.0</v>
      </c>
      <c r="BR96" s="14">
        <v>3.0</v>
      </c>
      <c r="BS96" s="14">
        <v>3.0</v>
      </c>
      <c r="BT96" s="14">
        <v>4.0</v>
      </c>
      <c r="BU96" s="14">
        <v>3.0</v>
      </c>
      <c r="BV96" s="14">
        <v>3.0</v>
      </c>
      <c r="BW96" s="14">
        <v>3.0</v>
      </c>
      <c r="BX96" s="14">
        <v>3.0</v>
      </c>
      <c r="BY96" s="14">
        <v>3.0</v>
      </c>
      <c r="BZ96" s="14">
        <v>3.0</v>
      </c>
    </row>
    <row r="97" ht="22.5" customHeight="1">
      <c r="A97" s="13">
        <v>46248.41915434028</v>
      </c>
      <c r="B97" s="14" t="s">
        <v>162</v>
      </c>
      <c r="C97" s="14" t="s">
        <v>590</v>
      </c>
      <c r="D97" s="14">
        <v>2023.0</v>
      </c>
      <c r="E97" s="14" t="s">
        <v>591</v>
      </c>
      <c r="F97" s="14" t="s">
        <v>592</v>
      </c>
      <c r="G97" s="14">
        <v>2.0</v>
      </c>
      <c r="H97" s="14">
        <v>2.0</v>
      </c>
      <c r="I97" s="14">
        <v>3.0</v>
      </c>
      <c r="J97" s="14">
        <v>5.0</v>
      </c>
      <c r="K97" s="14">
        <v>4.0</v>
      </c>
      <c r="L97" s="14">
        <v>5.0</v>
      </c>
      <c r="M97" s="14">
        <v>4.0</v>
      </c>
      <c r="N97" s="14">
        <v>2.0</v>
      </c>
      <c r="O97" s="14">
        <v>5.0</v>
      </c>
      <c r="P97" s="14">
        <v>5.0</v>
      </c>
      <c r="Q97" s="14">
        <v>3.0</v>
      </c>
      <c r="R97" s="14">
        <v>5.0</v>
      </c>
      <c r="S97" s="14">
        <v>2.0</v>
      </c>
      <c r="T97" s="14">
        <v>2.0</v>
      </c>
      <c r="U97" s="14">
        <v>4.0</v>
      </c>
      <c r="V97" s="14">
        <v>5.0</v>
      </c>
      <c r="W97" s="14">
        <v>4.0</v>
      </c>
      <c r="X97" s="14">
        <v>2.0</v>
      </c>
      <c r="Y97" s="14">
        <v>2.0</v>
      </c>
      <c r="Z97" s="14">
        <v>5.0</v>
      </c>
      <c r="AA97" s="14">
        <v>5.0</v>
      </c>
      <c r="AB97" s="14">
        <v>5.0</v>
      </c>
      <c r="AC97" s="14">
        <v>5.0</v>
      </c>
      <c r="AD97" s="14">
        <v>4.0</v>
      </c>
      <c r="AE97" s="14">
        <v>4.0</v>
      </c>
      <c r="AF97" s="14">
        <v>2.0</v>
      </c>
      <c r="AG97" s="14">
        <v>3.0</v>
      </c>
      <c r="AH97" s="14">
        <v>5.0</v>
      </c>
      <c r="AI97" s="14">
        <v>5.0</v>
      </c>
      <c r="AJ97" s="14">
        <v>5.0</v>
      </c>
      <c r="AK97" s="14">
        <v>4.0</v>
      </c>
      <c r="AL97" s="14">
        <v>4.0</v>
      </c>
      <c r="AM97" s="14">
        <v>3.0</v>
      </c>
      <c r="AN97" s="14">
        <v>5.0</v>
      </c>
      <c r="AO97" s="14">
        <v>1.0</v>
      </c>
      <c r="AP97" s="14">
        <v>2.0</v>
      </c>
      <c r="AQ97" s="14">
        <v>2.0</v>
      </c>
      <c r="AR97" s="14">
        <v>3.0</v>
      </c>
      <c r="AS97" s="14">
        <v>5.0</v>
      </c>
      <c r="AT97" s="14">
        <v>5.0</v>
      </c>
      <c r="AU97" s="14">
        <v>4.0</v>
      </c>
      <c r="AV97" s="14">
        <v>5.0</v>
      </c>
      <c r="AW97" s="14">
        <v>2.0</v>
      </c>
      <c r="AX97" s="14">
        <v>3.0</v>
      </c>
      <c r="AY97" s="14">
        <v>2.0</v>
      </c>
      <c r="AZ97" s="14">
        <v>5.0</v>
      </c>
      <c r="BA97" s="14">
        <v>5.0</v>
      </c>
      <c r="BB97" s="14">
        <v>5.0</v>
      </c>
      <c r="BC97" s="14">
        <v>4.0</v>
      </c>
      <c r="BD97" s="14">
        <v>4.0</v>
      </c>
      <c r="BE97" s="14">
        <v>3.0</v>
      </c>
      <c r="BF97" s="14">
        <v>5.0</v>
      </c>
      <c r="BG97" s="14">
        <v>5.0</v>
      </c>
      <c r="BH97" s="14">
        <v>4.0</v>
      </c>
      <c r="BI97" s="14">
        <v>4.0</v>
      </c>
      <c r="BJ97" s="14">
        <v>4.0</v>
      </c>
      <c r="BK97" s="14">
        <v>4.0</v>
      </c>
      <c r="BL97" s="14">
        <v>5.0</v>
      </c>
      <c r="BM97" s="14">
        <v>1.0</v>
      </c>
      <c r="BN97" s="14">
        <v>5.0</v>
      </c>
      <c r="BO97" s="14">
        <v>4.0</v>
      </c>
      <c r="BP97" s="14">
        <v>2.0</v>
      </c>
      <c r="BQ97" s="14">
        <v>5.0</v>
      </c>
      <c r="BR97" s="14">
        <v>5.0</v>
      </c>
      <c r="BS97" s="14">
        <v>5.0</v>
      </c>
      <c r="BT97" s="14">
        <v>5.0</v>
      </c>
      <c r="BU97" s="14">
        <v>2.0</v>
      </c>
      <c r="BV97" s="14">
        <v>4.0</v>
      </c>
      <c r="BW97" s="14">
        <v>4.0</v>
      </c>
      <c r="BX97" s="14">
        <v>5.0</v>
      </c>
      <c r="BY97" s="14">
        <v>5.0</v>
      </c>
      <c r="BZ97" s="14">
        <v>5.0</v>
      </c>
    </row>
    <row r="98" ht="22.5" customHeight="1">
      <c r="A98" s="13">
        <v>46248.420790578704</v>
      </c>
      <c r="B98" s="14" t="s">
        <v>162</v>
      </c>
      <c r="C98" s="14" t="s">
        <v>596</v>
      </c>
      <c r="D98" s="14">
        <v>2022.0</v>
      </c>
      <c r="E98" s="14" t="s">
        <v>239</v>
      </c>
      <c r="F98" s="14" t="s">
        <v>597</v>
      </c>
      <c r="G98" s="14">
        <v>2.0</v>
      </c>
      <c r="H98" s="14">
        <v>3.0</v>
      </c>
      <c r="I98" s="14">
        <v>1.0</v>
      </c>
      <c r="J98" s="14">
        <v>2.0</v>
      </c>
      <c r="K98" s="14">
        <v>2.0</v>
      </c>
      <c r="L98" s="14">
        <v>2.0</v>
      </c>
      <c r="M98" s="14">
        <v>2.0</v>
      </c>
      <c r="N98" s="14">
        <v>3.0</v>
      </c>
      <c r="O98" s="14">
        <v>2.0</v>
      </c>
      <c r="P98" s="14">
        <v>2.0</v>
      </c>
      <c r="Q98" s="14">
        <v>2.0</v>
      </c>
      <c r="R98" s="14">
        <v>3.0</v>
      </c>
      <c r="S98" s="14">
        <v>2.0</v>
      </c>
      <c r="T98" s="14">
        <v>3.0</v>
      </c>
      <c r="U98" s="14">
        <v>1.0</v>
      </c>
      <c r="V98" s="14">
        <v>3.0</v>
      </c>
      <c r="W98" s="14">
        <v>3.0</v>
      </c>
      <c r="X98" s="14">
        <v>2.0</v>
      </c>
      <c r="Y98" s="14">
        <v>3.0</v>
      </c>
      <c r="Z98" s="14">
        <v>3.0</v>
      </c>
      <c r="AA98" s="14">
        <v>3.0</v>
      </c>
      <c r="AB98" s="14">
        <v>4.0</v>
      </c>
      <c r="AC98" s="14">
        <v>3.0</v>
      </c>
      <c r="AD98" s="14">
        <v>3.0</v>
      </c>
      <c r="AE98" s="14">
        <v>3.0</v>
      </c>
      <c r="AF98" s="14">
        <v>4.0</v>
      </c>
      <c r="AG98" s="14">
        <v>4.0</v>
      </c>
      <c r="AH98" s="14">
        <v>4.0</v>
      </c>
      <c r="AI98" s="14">
        <v>4.0</v>
      </c>
      <c r="AJ98" s="14">
        <v>3.0</v>
      </c>
      <c r="AK98" s="14">
        <v>3.0</v>
      </c>
      <c r="AL98" s="14">
        <v>3.0</v>
      </c>
      <c r="AM98" s="14">
        <v>1.0</v>
      </c>
      <c r="AN98" s="14">
        <v>4.0</v>
      </c>
      <c r="AO98" s="14">
        <v>4.0</v>
      </c>
      <c r="AP98" s="14">
        <v>4.0</v>
      </c>
      <c r="AQ98" s="14">
        <v>4.0</v>
      </c>
      <c r="AR98" s="14">
        <v>4.0</v>
      </c>
      <c r="AS98" s="14">
        <v>3.0</v>
      </c>
      <c r="AT98" s="14">
        <v>4.0</v>
      </c>
      <c r="AU98" s="14">
        <v>2.0</v>
      </c>
      <c r="AV98" s="14">
        <v>4.0</v>
      </c>
      <c r="AW98" s="14">
        <v>4.0</v>
      </c>
      <c r="AX98" s="14">
        <v>3.0</v>
      </c>
      <c r="AY98" s="14">
        <v>4.0</v>
      </c>
      <c r="AZ98" s="14">
        <v>4.0</v>
      </c>
      <c r="BA98" s="14">
        <v>4.0</v>
      </c>
      <c r="BB98" s="14">
        <v>4.0</v>
      </c>
      <c r="BC98" s="14">
        <v>4.0</v>
      </c>
      <c r="BD98" s="14">
        <v>4.0</v>
      </c>
      <c r="BE98" s="14">
        <v>1.0</v>
      </c>
      <c r="BF98" s="14">
        <v>4.0</v>
      </c>
      <c r="BG98" s="14">
        <v>3.0</v>
      </c>
      <c r="BH98" s="14">
        <v>4.0</v>
      </c>
      <c r="BI98" s="14">
        <v>4.0</v>
      </c>
      <c r="BJ98" s="14">
        <v>3.0</v>
      </c>
      <c r="BK98" s="14">
        <v>4.0</v>
      </c>
      <c r="BL98" s="14">
        <v>4.0</v>
      </c>
      <c r="BM98" s="14">
        <v>3.0</v>
      </c>
      <c r="BN98" s="14">
        <v>4.0</v>
      </c>
      <c r="BO98" s="14">
        <v>4.0</v>
      </c>
      <c r="BP98" s="14">
        <v>4.0</v>
      </c>
      <c r="BQ98" s="14">
        <v>4.0</v>
      </c>
      <c r="BR98" s="14">
        <v>4.0</v>
      </c>
      <c r="BS98" s="14">
        <v>5.0</v>
      </c>
      <c r="BT98" s="14">
        <v>4.0</v>
      </c>
      <c r="BU98" s="14">
        <v>3.0</v>
      </c>
      <c r="BV98" s="14">
        <v>4.0</v>
      </c>
      <c r="BW98" s="14">
        <v>4.0</v>
      </c>
      <c r="BX98" s="14">
        <v>4.0</v>
      </c>
      <c r="BY98" s="14">
        <v>4.0</v>
      </c>
      <c r="BZ98" s="14">
        <v>4.0</v>
      </c>
    </row>
    <row r="99" ht="22.5" customHeight="1">
      <c r="A99" s="13">
        <v>46248.42203923611</v>
      </c>
      <c r="B99" s="14" t="s">
        <v>162</v>
      </c>
      <c r="C99" s="14" t="s">
        <v>601</v>
      </c>
      <c r="D99" s="14">
        <v>2022.0</v>
      </c>
      <c r="E99" s="14" t="s">
        <v>374</v>
      </c>
      <c r="F99" s="14" t="s">
        <v>602</v>
      </c>
      <c r="G99" s="14">
        <v>5.0</v>
      </c>
      <c r="H99" s="14">
        <v>4.0</v>
      </c>
      <c r="I99" s="14">
        <v>4.0</v>
      </c>
      <c r="J99" s="14">
        <v>4.0</v>
      </c>
      <c r="K99" s="14">
        <v>4.0</v>
      </c>
      <c r="L99" s="14">
        <v>4.0</v>
      </c>
      <c r="M99" s="14">
        <v>5.0</v>
      </c>
      <c r="N99" s="14">
        <v>4.0</v>
      </c>
      <c r="O99" s="14">
        <v>5.0</v>
      </c>
      <c r="P99" s="14">
        <v>4.0</v>
      </c>
      <c r="Q99" s="14">
        <v>4.0</v>
      </c>
      <c r="R99" s="14">
        <v>4.0</v>
      </c>
      <c r="S99" s="14">
        <v>4.0</v>
      </c>
      <c r="T99" s="14">
        <v>4.0</v>
      </c>
      <c r="U99" s="14">
        <v>3.0</v>
      </c>
      <c r="V99" s="14">
        <v>5.0</v>
      </c>
      <c r="W99" s="14">
        <v>4.0</v>
      </c>
      <c r="X99" s="14">
        <v>3.0</v>
      </c>
      <c r="Y99" s="14">
        <v>5.0</v>
      </c>
      <c r="Z99" s="14">
        <v>4.0</v>
      </c>
      <c r="AA99" s="14">
        <v>5.0</v>
      </c>
      <c r="AB99" s="14">
        <v>5.0</v>
      </c>
      <c r="AC99" s="14">
        <v>5.0</v>
      </c>
      <c r="AD99" s="14">
        <v>3.0</v>
      </c>
      <c r="AE99" s="14">
        <v>5.0</v>
      </c>
      <c r="AF99" s="14">
        <v>3.0</v>
      </c>
      <c r="AG99" s="14">
        <v>4.0</v>
      </c>
      <c r="AH99" s="14">
        <v>5.0</v>
      </c>
      <c r="AI99" s="14">
        <v>5.0</v>
      </c>
      <c r="AJ99" s="14">
        <v>5.0</v>
      </c>
      <c r="AK99" s="14">
        <v>5.0</v>
      </c>
      <c r="AL99" s="14">
        <v>3.0</v>
      </c>
      <c r="AM99" s="14">
        <v>3.0</v>
      </c>
      <c r="AN99" s="14">
        <v>4.0</v>
      </c>
      <c r="AO99" s="14">
        <v>3.0</v>
      </c>
      <c r="AP99" s="14">
        <v>2.0</v>
      </c>
      <c r="AQ99" s="14">
        <v>4.0</v>
      </c>
      <c r="AR99" s="14">
        <v>3.0</v>
      </c>
      <c r="AS99" s="14">
        <v>4.0</v>
      </c>
      <c r="AT99" s="14">
        <v>4.0</v>
      </c>
      <c r="AU99" s="14">
        <v>4.0</v>
      </c>
      <c r="AV99" s="14">
        <v>5.0</v>
      </c>
      <c r="AW99" s="14">
        <v>4.0</v>
      </c>
      <c r="AX99" s="14">
        <v>3.0</v>
      </c>
      <c r="AY99" s="14">
        <v>4.0</v>
      </c>
      <c r="AZ99" s="14">
        <v>4.0</v>
      </c>
      <c r="BA99" s="14">
        <v>5.0</v>
      </c>
      <c r="BB99" s="14">
        <v>4.0</v>
      </c>
      <c r="BC99" s="14">
        <v>5.0</v>
      </c>
      <c r="BD99" s="14">
        <v>3.0</v>
      </c>
      <c r="BE99" s="14">
        <v>4.0</v>
      </c>
      <c r="BF99" s="14">
        <v>5.0</v>
      </c>
      <c r="BG99" s="14">
        <v>5.0</v>
      </c>
      <c r="BH99" s="14">
        <v>5.0</v>
      </c>
      <c r="BI99" s="14">
        <v>5.0</v>
      </c>
      <c r="BJ99" s="14">
        <v>3.0</v>
      </c>
      <c r="BK99" s="14">
        <v>4.0</v>
      </c>
      <c r="BL99" s="14">
        <v>4.0</v>
      </c>
      <c r="BM99" s="14">
        <v>4.0</v>
      </c>
      <c r="BN99" s="14">
        <v>5.0</v>
      </c>
      <c r="BO99" s="14">
        <v>4.0</v>
      </c>
      <c r="BP99" s="14">
        <v>3.0</v>
      </c>
      <c r="BQ99" s="14">
        <v>3.0</v>
      </c>
      <c r="BR99" s="14">
        <v>5.0</v>
      </c>
      <c r="BS99" s="14">
        <v>4.0</v>
      </c>
      <c r="BT99" s="14">
        <v>4.0</v>
      </c>
      <c r="BU99" s="14">
        <v>5.0</v>
      </c>
      <c r="BV99" s="14">
        <v>4.0</v>
      </c>
      <c r="BW99" s="14">
        <v>3.0</v>
      </c>
      <c r="BX99" s="14">
        <v>4.0</v>
      </c>
      <c r="BY99" s="14">
        <v>5.0</v>
      </c>
      <c r="BZ99" s="14">
        <v>4.0</v>
      </c>
    </row>
    <row r="100" ht="22.5" customHeight="1">
      <c r="A100" s="13">
        <v>46248.42322614584</v>
      </c>
      <c r="B100" s="14" t="s">
        <v>162</v>
      </c>
      <c r="C100" s="14" t="s">
        <v>606</v>
      </c>
      <c r="D100" s="14">
        <v>2024.0</v>
      </c>
      <c r="E100" s="14" t="s">
        <v>277</v>
      </c>
      <c r="F100" s="14" t="s">
        <v>607</v>
      </c>
      <c r="G100" s="14">
        <v>4.0</v>
      </c>
      <c r="H100" s="14">
        <v>4.0</v>
      </c>
      <c r="I100" s="14">
        <v>1.0</v>
      </c>
      <c r="J100" s="14">
        <v>5.0</v>
      </c>
      <c r="K100" s="14">
        <v>3.0</v>
      </c>
      <c r="L100" s="14">
        <v>3.0</v>
      </c>
      <c r="M100" s="14">
        <v>3.0</v>
      </c>
      <c r="N100" s="14">
        <v>4.0</v>
      </c>
      <c r="O100" s="14">
        <v>1.0</v>
      </c>
      <c r="P100" s="14">
        <v>2.0</v>
      </c>
      <c r="Q100" s="14">
        <v>4.0</v>
      </c>
      <c r="R100" s="14">
        <v>5.0</v>
      </c>
      <c r="S100" s="14">
        <v>3.0</v>
      </c>
      <c r="T100" s="14">
        <v>2.0</v>
      </c>
      <c r="U100" s="14">
        <v>1.0</v>
      </c>
      <c r="V100" s="14">
        <v>4.0</v>
      </c>
      <c r="W100" s="14">
        <v>3.0</v>
      </c>
      <c r="X100" s="14">
        <v>3.0</v>
      </c>
      <c r="Y100" s="14">
        <v>2.0</v>
      </c>
      <c r="Z100" s="14">
        <v>3.0</v>
      </c>
      <c r="AA100" s="14">
        <v>1.0</v>
      </c>
      <c r="AB100" s="14">
        <v>5.0</v>
      </c>
      <c r="AC100" s="14">
        <v>5.0</v>
      </c>
      <c r="AD100" s="14">
        <v>3.0</v>
      </c>
      <c r="AE100" s="14">
        <v>1.0</v>
      </c>
      <c r="AF100" s="14">
        <v>3.0</v>
      </c>
      <c r="AG100" s="14">
        <v>1.0</v>
      </c>
      <c r="AH100" s="14">
        <v>5.0</v>
      </c>
      <c r="AI100" s="14">
        <v>4.0</v>
      </c>
      <c r="AJ100" s="14">
        <v>4.0</v>
      </c>
      <c r="AK100" s="14">
        <v>3.0</v>
      </c>
      <c r="AL100" s="14">
        <v>4.0</v>
      </c>
      <c r="AM100" s="14">
        <v>1.0</v>
      </c>
      <c r="AN100" s="14">
        <v>4.0</v>
      </c>
      <c r="AO100" s="14">
        <v>3.0</v>
      </c>
      <c r="AP100" s="14">
        <v>3.0</v>
      </c>
      <c r="AQ100" s="14">
        <v>3.0</v>
      </c>
      <c r="AR100" s="14">
        <v>4.0</v>
      </c>
      <c r="AS100" s="14">
        <v>3.0</v>
      </c>
      <c r="AT100" s="14">
        <v>5.0</v>
      </c>
      <c r="AU100" s="14">
        <v>4.0</v>
      </c>
      <c r="AV100" s="14">
        <v>4.0</v>
      </c>
      <c r="AW100" s="14">
        <v>3.0</v>
      </c>
      <c r="AX100" s="14">
        <v>2.0</v>
      </c>
      <c r="AY100" s="14">
        <v>4.0</v>
      </c>
      <c r="AZ100" s="14">
        <v>4.0</v>
      </c>
      <c r="BA100" s="14">
        <v>4.0</v>
      </c>
      <c r="BB100" s="14">
        <v>4.0</v>
      </c>
      <c r="BC100" s="14">
        <v>4.0</v>
      </c>
      <c r="BD100" s="14">
        <v>4.0</v>
      </c>
      <c r="BE100" s="14">
        <v>1.0</v>
      </c>
      <c r="BF100" s="14">
        <v>5.0</v>
      </c>
      <c r="BG100" s="14">
        <v>4.0</v>
      </c>
      <c r="BH100" s="14">
        <v>4.0</v>
      </c>
      <c r="BI100" s="14">
        <v>4.0</v>
      </c>
      <c r="BJ100" s="14">
        <v>3.0</v>
      </c>
      <c r="BK100" s="14">
        <v>3.0</v>
      </c>
      <c r="BL100" s="14">
        <v>3.0</v>
      </c>
      <c r="BM100" s="14">
        <v>5.0</v>
      </c>
      <c r="BN100" s="14">
        <v>4.0</v>
      </c>
      <c r="BO100" s="14">
        <v>3.0</v>
      </c>
      <c r="BP100" s="14">
        <v>4.0</v>
      </c>
      <c r="BQ100" s="14">
        <v>4.0</v>
      </c>
      <c r="BR100" s="14">
        <v>5.0</v>
      </c>
      <c r="BS100" s="14">
        <v>4.0</v>
      </c>
      <c r="BT100" s="14">
        <v>5.0</v>
      </c>
      <c r="BU100" s="14">
        <v>3.0</v>
      </c>
      <c r="BV100" s="14">
        <v>3.0</v>
      </c>
      <c r="BW100" s="14">
        <v>3.0</v>
      </c>
      <c r="BX100" s="14">
        <v>3.0</v>
      </c>
      <c r="BY100" s="14">
        <v>2.0</v>
      </c>
      <c r="BZ100" s="14">
        <v>4.0</v>
      </c>
    </row>
    <row r="101" ht="22.5" customHeight="1">
      <c r="A101" s="13">
        <v>46248.437945</v>
      </c>
      <c r="B101" s="14" t="s">
        <v>162</v>
      </c>
      <c r="C101" s="14" t="s">
        <v>611</v>
      </c>
      <c r="D101" s="14" t="s">
        <v>612</v>
      </c>
      <c r="E101" s="14" t="s">
        <v>612</v>
      </c>
      <c r="F101" s="14" t="s">
        <v>613</v>
      </c>
      <c r="G101" s="14">
        <v>2.0</v>
      </c>
      <c r="H101" s="14">
        <v>2.0</v>
      </c>
      <c r="I101" s="14">
        <v>2.0</v>
      </c>
      <c r="J101" s="14">
        <v>3.0</v>
      </c>
      <c r="K101" s="14">
        <v>3.0</v>
      </c>
      <c r="L101" s="14">
        <v>4.0</v>
      </c>
      <c r="M101" s="14">
        <v>4.0</v>
      </c>
      <c r="N101" s="14">
        <v>3.0</v>
      </c>
      <c r="O101" s="14">
        <v>2.0</v>
      </c>
      <c r="P101" s="14">
        <v>3.0</v>
      </c>
      <c r="Q101" s="14">
        <v>3.0</v>
      </c>
      <c r="R101" s="14">
        <v>4.0</v>
      </c>
      <c r="S101" s="14">
        <v>4.0</v>
      </c>
      <c r="T101" s="14">
        <v>5.0</v>
      </c>
      <c r="U101" s="14">
        <v>5.0</v>
      </c>
      <c r="V101" s="14">
        <v>5.0</v>
      </c>
      <c r="W101" s="14">
        <v>4.0</v>
      </c>
      <c r="X101" s="14">
        <v>3.0</v>
      </c>
      <c r="Y101" s="14">
        <v>3.0</v>
      </c>
      <c r="Z101" s="14">
        <v>3.0</v>
      </c>
      <c r="AA101" s="14">
        <v>3.0</v>
      </c>
      <c r="AB101" s="14">
        <v>2.0</v>
      </c>
      <c r="AC101" s="14">
        <v>2.0</v>
      </c>
      <c r="AD101" s="14">
        <v>2.0</v>
      </c>
      <c r="AE101" s="14">
        <v>2.0</v>
      </c>
      <c r="AF101" s="14">
        <v>2.0</v>
      </c>
      <c r="AG101" s="14">
        <v>3.0</v>
      </c>
      <c r="AH101" s="14">
        <v>4.0</v>
      </c>
      <c r="AI101" s="14">
        <v>5.0</v>
      </c>
      <c r="AJ101" s="14">
        <v>5.0</v>
      </c>
      <c r="AK101" s="14">
        <v>5.0</v>
      </c>
      <c r="AL101" s="14">
        <v>4.0</v>
      </c>
      <c r="AM101" s="14">
        <v>3.0</v>
      </c>
      <c r="AN101" s="14">
        <v>2.0</v>
      </c>
      <c r="AO101" s="14">
        <v>2.0</v>
      </c>
      <c r="AP101" s="14">
        <v>3.0</v>
      </c>
      <c r="AQ101" s="14">
        <v>4.0</v>
      </c>
      <c r="AR101" s="14">
        <v>5.0</v>
      </c>
      <c r="AS101" s="14">
        <v>5.0</v>
      </c>
      <c r="AT101" s="14">
        <v>4.0</v>
      </c>
      <c r="AU101" s="14">
        <v>3.0</v>
      </c>
      <c r="AV101" s="14">
        <v>2.0</v>
      </c>
      <c r="AW101" s="14">
        <v>3.0</v>
      </c>
      <c r="AX101" s="14">
        <v>4.0</v>
      </c>
      <c r="AY101" s="14">
        <v>5.0</v>
      </c>
      <c r="AZ101" s="14">
        <v>4.0</v>
      </c>
      <c r="BA101" s="14">
        <v>3.0</v>
      </c>
      <c r="BB101" s="14">
        <v>2.0</v>
      </c>
      <c r="BC101" s="14">
        <v>3.0</v>
      </c>
      <c r="BD101" s="14">
        <v>4.0</v>
      </c>
      <c r="BE101" s="14">
        <v>5.0</v>
      </c>
      <c r="BF101" s="14">
        <v>4.0</v>
      </c>
      <c r="BG101" s="14">
        <v>3.0</v>
      </c>
      <c r="BH101" s="14">
        <v>2.0</v>
      </c>
      <c r="BI101" s="14">
        <v>3.0</v>
      </c>
      <c r="BJ101" s="14">
        <v>4.0</v>
      </c>
      <c r="BK101" s="14">
        <v>5.0</v>
      </c>
      <c r="BL101" s="14">
        <v>4.0</v>
      </c>
      <c r="BM101" s="14">
        <v>3.0</v>
      </c>
      <c r="BN101" s="14">
        <v>2.0</v>
      </c>
      <c r="BO101" s="14">
        <v>1.0</v>
      </c>
      <c r="BP101" s="14">
        <v>1.0</v>
      </c>
      <c r="BQ101" s="14">
        <v>2.0</v>
      </c>
      <c r="BR101" s="14">
        <v>3.0</v>
      </c>
      <c r="BS101" s="14">
        <v>4.0</v>
      </c>
      <c r="BT101" s="14">
        <v>5.0</v>
      </c>
      <c r="BU101" s="14">
        <v>4.0</v>
      </c>
      <c r="BV101" s="14">
        <v>3.0</v>
      </c>
      <c r="BW101" s="14">
        <v>2.0</v>
      </c>
      <c r="BX101" s="14">
        <v>1.0</v>
      </c>
      <c r="BY101" s="14">
        <v>1.0</v>
      </c>
      <c r="BZ101" s="14">
        <v>2.0</v>
      </c>
    </row>
    <row r="102">
      <c r="A102" s="19">
        <v>46248.52073019676</v>
      </c>
      <c r="B102" s="1" t="s">
        <v>162</v>
      </c>
      <c r="C102" s="1" t="s">
        <v>224</v>
      </c>
      <c r="D102" s="1" t="s">
        <v>617</v>
      </c>
      <c r="E102" s="1" t="s">
        <v>617</v>
      </c>
      <c r="F102" s="1" t="s">
        <v>613</v>
      </c>
      <c r="G102" s="1">
        <v>1.0</v>
      </c>
      <c r="H102" s="1">
        <v>1.0</v>
      </c>
      <c r="I102" s="1">
        <v>1.0</v>
      </c>
      <c r="J102" s="1">
        <v>1.0</v>
      </c>
      <c r="K102" s="1">
        <v>1.0</v>
      </c>
      <c r="L102" s="1">
        <v>1.0</v>
      </c>
      <c r="M102" s="1">
        <v>1.0</v>
      </c>
      <c r="N102" s="1">
        <v>1.0</v>
      </c>
      <c r="O102" s="1">
        <v>1.0</v>
      </c>
      <c r="P102" s="1">
        <v>1.0</v>
      </c>
      <c r="Q102" s="1">
        <v>1.0</v>
      </c>
      <c r="R102" s="1">
        <v>1.0</v>
      </c>
      <c r="S102" s="1">
        <v>1.0</v>
      </c>
      <c r="T102" s="1">
        <v>1.0</v>
      </c>
      <c r="U102" s="1">
        <v>1.0</v>
      </c>
      <c r="V102" s="1">
        <v>1.0</v>
      </c>
      <c r="W102" s="1">
        <v>1.0</v>
      </c>
      <c r="X102" s="1">
        <v>1.0</v>
      </c>
      <c r="Y102" s="1">
        <v>1.0</v>
      </c>
      <c r="Z102" s="1">
        <v>1.0</v>
      </c>
      <c r="AA102" s="1">
        <v>1.0</v>
      </c>
      <c r="AB102" s="1">
        <v>1.0</v>
      </c>
      <c r="AC102" s="1">
        <v>1.0</v>
      </c>
      <c r="AD102" s="1">
        <v>1.0</v>
      </c>
      <c r="AE102" s="1">
        <v>1.0</v>
      </c>
      <c r="AF102" s="1">
        <v>1.0</v>
      </c>
      <c r="AG102" s="1">
        <v>1.0</v>
      </c>
      <c r="AH102" s="1">
        <v>1.0</v>
      </c>
      <c r="AI102" s="1">
        <v>1.0</v>
      </c>
      <c r="AJ102" s="1">
        <v>1.0</v>
      </c>
      <c r="AK102" s="1">
        <v>1.0</v>
      </c>
      <c r="AL102" s="1">
        <v>2.0</v>
      </c>
      <c r="AM102" s="1">
        <v>2.0</v>
      </c>
      <c r="AN102" s="1">
        <v>2.0</v>
      </c>
      <c r="AO102" s="1">
        <v>2.0</v>
      </c>
      <c r="AP102" s="1">
        <v>2.0</v>
      </c>
      <c r="AQ102" s="1">
        <v>2.0</v>
      </c>
      <c r="AR102" s="1">
        <v>1.0</v>
      </c>
      <c r="AS102" s="1">
        <v>2.0</v>
      </c>
      <c r="AT102" s="1">
        <v>1.0</v>
      </c>
      <c r="AU102" s="1">
        <v>1.0</v>
      </c>
      <c r="AV102" s="1">
        <v>2.0</v>
      </c>
      <c r="AW102" s="1">
        <v>2.0</v>
      </c>
      <c r="AX102" s="1">
        <v>2.0</v>
      </c>
      <c r="AY102" s="1">
        <v>1.0</v>
      </c>
      <c r="AZ102" s="1">
        <v>2.0</v>
      </c>
      <c r="BA102" s="1">
        <v>2.0</v>
      </c>
      <c r="BB102" s="1">
        <v>2.0</v>
      </c>
      <c r="BC102" s="1">
        <v>2.0</v>
      </c>
      <c r="BD102" s="1">
        <v>2.0</v>
      </c>
      <c r="BE102" s="1">
        <v>2.0</v>
      </c>
      <c r="BF102" s="1">
        <v>2.0</v>
      </c>
      <c r="BG102" s="1">
        <v>1.0</v>
      </c>
      <c r="BH102" s="1">
        <v>2.0</v>
      </c>
      <c r="BI102" s="1">
        <v>2.0</v>
      </c>
      <c r="BJ102" s="1">
        <v>2.0</v>
      </c>
      <c r="BK102" s="1">
        <v>2.0</v>
      </c>
      <c r="BL102" s="1">
        <v>2.0</v>
      </c>
      <c r="BM102" s="1">
        <v>2.0</v>
      </c>
      <c r="BN102" s="1">
        <v>2.0</v>
      </c>
      <c r="BO102" s="1">
        <v>2.0</v>
      </c>
      <c r="BP102" s="1">
        <v>1.0</v>
      </c>
      <c r="BQ102" s="1">
        <v>2.0</v>
      </c>
      <c r="BR102" s="1">
        <v>2.0</v>
      </c>
      <c r="BS102" s="1">
        <v>2.0</v>
      </c>
      <c r="BT102" s="1">
        <v>2.0</v>
      </c>
      <c r="BU102" s="1">
        <v>2.0</v>
      </c>
      <c r="BV102" s="1">
        <v>2.0</v>
      </c>
      <c r="BW102" s="1">
        <v>1.0</v>
      </c>
      <c r="BX102" s="1">
        <v>2.0</v>
      </c>
      <c r="BY102" s="1">
        <v>2.0</v>
      </c>
      <c r="BZ102" s="1">
        <v>2.0</v>
      </c>
    </row>
    <row r="103">
      <c r="A103" s="19">
        <v>46248.538001863424</v>
      </c>
      <c r="B103" s="1" t="s">
        <v>162</v>
      </c>
      <c r="C103" s="1" t="s">
        <v>620</v>
      </c>
      <c r="D103" s="1">
        <v>2025.0</v>
      </c>
      <c r="F103" s="1" t="s">
        <v>190</v>
      </c>
      <c r="G103" s="1">
        <v>1.0</v>
      </c>
      <c r="H103" s="1">
        <v>1.0</v>
      </c>
      <c r="I103" s="1">
        <v>1.0</v>
      </c>
      <c r="J103" s="1">
        <v>1.0</v>
      </c>
      <c r="K103" s="1">
        <v>1.0</v>
      </c>
      <c r="L103" s="1">
        <v>1.0</v>
      </c>
      <c r="M103" s="1">
        <v>1.0</v>
      </c>
      <c r="N103" s="1">
        <v>1.0</v>
      </c>
      <c r="O103" s="1">
        <v>1.0</v>
      </c>
      <c r="P103" s="1">
        <v>1.0</v>
      </c>
      <c r="Q103" s="1">
        <v>1.0</v>
      </c>
      <c r="R103" s="1">
        <v>1.0</v>
      </c>
      <c r="S103" s="1">
        <v>1.0</v>
      </c>
      <c r="T103" s="1">
        <v>1.0</v>
      </c>
      <c r="U103" s="1">
        <v>1.0</v>
      </c>
      <c r="V103" s="1">
        <v>1.0</v>
      </c>
      <c r="W103" s="1">
        <v>1.0</v>
      </c>
      <c r="X103" s="1">
        <v>1.0</v>
      </c>
      <c r="Y103" s="1">
        <v>1.0</v>
      </c>
      <c r="Z103" s="1">
        <v>1.0</v>
      </c>
      <c r="AA103" s="1">
        <v>1.0</v>
      </c>
      <c r="AB103" s="1">
        <v>1.0</v>
      </c>
      <c r="AC103" s="1">
        <v>1.0</v>
      </c>
      <c r="AD103" s="1">
        <v>1.0</v>
      </c>
      <c r="AE103" s="1">
        <v>2.0</v>
      </c>
      <c r="AF103" s="1">
        <v>1.0</v>
      </c>
      <c r="AG103" s="1">
        <v>2.0</v>
      </c>
      <c r="AH103" s="1">
        <v>2.0</v>
      </c>
      <c r="AI103" s="1">
        <v>1.0</v>
      </c>
      <c r="AJ103" s="1">
        <v>1.0</v>
      </c>
      <c r="AK103" s="1">
        <v>2.0</v>
      </c>
      <c r="AL103" s="1">
        <v>1.0</v>
      </c>
      <c r="AM103" s="1">
        <v>2.0</v>
      </c>
      <c r="AN103" s="1">
        <v>1.0</v>
      </c>
      <c r="AO103" s="1">
        <v>1.0</v>
      </c>
      <c r="AP103" s="1">
        <v>2.0</v>
      </c>
      <c r="AQ103" s="1">
        <v>1.0</v>
      </c>
      <c r="AR103" s="1">
        <v>1.0</v>
      </c>
      <c r="AS103" s="1">
        <v>2.0</v>
      </c>
      <c r="AT103" s="1">
        <v>2.0</v>
      </c>
      <c r="AU103" s="1">
        <v>1.0</v>
      </c>
      <c r="AV103" s="1">
        <v>1.0</v>
      </c>
      <c r="AW103" s="1">
        <v>1.0</v>
      </c>
      <c r="AX103" s="1">
        <v>1.0</v>
      </c>
      <c r="AY103" s="1">
        <v>1.0</v>
      </c>
      <c r="AZ103" s="1">
        <v>2.0</v>
      </c>
      <c r="BA103" s="1">
        <v>1.0</v>
      </c>
      <c r="BB103" s="1">
        <v>2.0</v>
      </c>
      <c r="BC103" s="1">
        <v>1.0</v>
      </c>
      <c r="BD103" s="1">
        <v>1.0</v>
      </c>
      <c r="BE103" s="1">
        <v>1.0</v>
      </c>
      <c r="BF103" s="1">
        <v>1.0</v>
      </c>
      <c r="BG103" s="1">
        <v>1.0</v>
      </c>
      <c r="BH103" s="1">
        <v>1.0</v>
      </c>
      <c r="BI103" s="1">
        <v>2.0</v>
      </c>
      <c r="BJ103" s="1">
        <v>1.0</v>
      </c>
      <c r="BK103" s="1">
        <v>2.0</v>
      </c>
      <c r="BL103" s="1">
        <v>1.0</v>
      </c>
      <c r="BM103" s="1">
        <v>2.0</v>
      </c>
      <c r="BN103" s="1">
        <v>1.0</v>
      </c>
      <c r="BO103" s="1">
        <v>1.0</v>
      </c>
      <c r="BP103" s="1">
        <v>2.0</v>
      </c>
      <c r="BQ103" s="1">
        <v>1.0</v>
      </c>
      <c r="BR103" s="1">
        <v>2.0</v>
      </c>
      <c r="BS103" s="1">
        <v>1.0</v>
      </c>
      <c r="BT103" s="1">
        <v>2.0</v>
      </c>
      <c r="BU103" s="1">
        <v>1.0</v>
      </c>
      <c r="BV103" s="1">
        <v>2.0</v>
      </c>
      <c r="BW103" s="1">
        <v>1.0</v>
      </c>
      <c r="BX103" s="1">
        <v>2.0</v>
      </c>
      <c r="BY103" s="1">
        <v>1.0</v>
      </c>
      <c r="BZ103" s="1">
        <v>2.0</v>
      </c>
    </row>
    <row r="104">
      <c r="A104" s="19">
        <v>46248.538414826384</v>
      </c>
      <c r="B104" s="1" t="s">
        <v>162</v>
      </c>
      <c r="C104" s="1" t="s">
        <v>624</v>
      </c>
      <c r="D104" s="1">
        <v>2020.0</v>
      </c>
      <c r="E104" s="1" t="s">
        <v>194</v>
      </c>
      <c r="F104" s="1" t="s">
        <v>165</v>
      </c>
      <c r="G104" s="1">
        <v>1.0</v>
      </c>
      <c r="H104" s="1">
        <v>5.0</v>
      </c>
      <c r="I104" s="1">
        <v>2.0</v>
      </c>
      <c r="J104" s="1">
        <v>2.0</v>
      </c>
      <c r="K104" s="1">
        <v>3.0</v>
      </c>
      <c r="L104" s="1">
        <v>3.0</v>
      </c>
      <c r="M104" s="1">
        <v>2.0</v>
      </c>
      <c r="N104" s="1">
        <v>4.0</v>
      </c>
      <c r="O104" s="1">
        <v>2.0</v>
      </c>
      <c r="P104" s="1">
        <v>2.0</v>
      </c>
      <c r="Q104" s="1">
        <v>4.0</v>
      </c>
      <c r="R104" s="1">
        <v>4.0</v>
      </c>
      <c r="S104" s="1">
        <v>2.0</v>
      </c>
      <c r="T104" s="1">
        <v>2.0</v>
      </c>
      <c r="U104" s="1">
        <v>4.0</v>
      </c>
      <c r="V104" s="1">
        <v>4.0</v>
      </c>
      <c r="W104" s="1">
        <v>4.0</v>
      </c>
      <c r="X104" s="1">
        <v>2.0</v>
      </c>
      <c r="Y104" s="1">
        <v>2.0</v>
      </c>
      <c r="Z104" s="1">
        <v>4.0</v>
      </c>
      <c r="AA104" s="1">
        <v>4.0</v>
      </c>
      <c r="AB104" s="1">
        <v>2.0</v>
      </c>
      <c r="AC104" s="1">
        <v>2.0</v>
      </c>
      <c r="AD104" s="1">
        <v>4.0</v>
      </c>
      <c r="AE104" s="1">
        <v>4.0</v>
      </c>
      <c r="AF104" s="1">
        <v>2.0</v>
      </c>
      <c r="AG104" s="1">
        <v>2.0</v>
      </c>
      <c r="AH104" s="1">
        <v>4.0</v>
      </c>
      <c r="AI104" s="1">
        <v>4.0</v>
      </c>
      <c r="AJ104" s="1">
        <v>5.0</v>
      </c>
      <c r="AK104" s="1">
        <v>2.0</v>
      </c>
      <c r="AL104" s="1">
        <v>2.0</v>
      </c>
      <c r="AM104" s="1">
        <v>3.0</v>
      </c>
      <c r="AN104" s="1">
        <v>3.0</v>
      </c>
      <c r="AO104" s="1">
        <v>3.0</v>
      </c>
      <c r="AP104" s="1">
        <v>2.0</v>
      </c>
      <c r="AQ104" s="1">
        <v>2.0</v>
      </c>
      <c r="AR104" s="1">
        <v>4.0</v>
      </c>
      <c r="AS104" s="1">
        <v>4.0</v>
      </c>
      <c r="AT104" s="1">
        <v>2.0</v>
      </c>
      <c r="AU104" s="1">
        <v>2.0</v>
      </c>
      <c r="AV104" s="1">
        <v>4.0</v>
      </c>
      <c r="AW104" s="1">
        <v>4.0</v>
      </c>
      <c r="AX104" s="1">
        <v>2.0</v>
      </c>
      <c r="AY104" s="1">
        <v>2.0</v>
      </c>
      <c r="AZ104" s="1">
        <v>4.0</v>
      </c>
      <c r="BA104" s="1">
        <v>4.0</v>
      </c>
      <c r="BB104" s="1">
        <v>2.0</v>
      </c>
      <c r="BC104" s="1">
        <v>2.0</v>
      </c>
      <c r="BD104" s="1">
        <v>4.0</v>
      </c>
      <c r="BE104" s="1">
        <v>4.0</v>
      </c>
      <c r="BF104" s="1">
        <v>2.0</v>
      </c>
      <c r="BG104" s="1">
        <v>2.0</v>
      </c>
      <c r="BH104" s="1">
        <v>4.0</v>
      </c>
      <c r="BI104" s="1">
        <v>4.0</v>
      </c>
      <c r="BJ104" s="1">
        <v>2.0</v>
      </c>
      <c r="BK104" s="1">
        <v>2.0</v>
      </c>
      <c r="BL104" s="1">
        <v>4.0</v>
      </c>
      <c r="BM104" s="1">
        <v>4.0</v>
      </c>
      <c r="BN104" s="1">
        <v>2.0</v>
      </c>
      <c r="BO104" s="1">
        <v>2.0</v>
      </c>
      <c r="BP104" s="1">
        <v>4.0</v>
      </c>
      <c r="BQ104" s="1">
        <v>4.0</v>
      </c>
      <c r="BR104" s="1">
        <v>2.0</v>
      </c>
      <c r="BS104" s="1">
        <v>2.0</v>
      </c>
      <c r="BT104" s="1">
        <v>4.0</v>
      </c>
      <c r="BU104" s="1">
        <v>2.0</v>
      </c>
      <c r="BV104" s="1">
        <v>2.0</v>
      </c>
      <c r="BW104" s="1">
        <v>4.0</v>
      </c>
      <c r="BX104" s="1">
        <v>2.0</v>
      </c>
      <c r="BY104" s="1">
        <v>2.0</v>
      </c>
      <c r="BZ104" s="1">
        <v>4.0</v>
      </c>
    </row>
    <row r="105">
      <c r="A105" s="19">
        <v>46248.71972469907</v>
      </c>
      <c r="B105" s="1" t="s">
        <v>162</v>
      </c>
      <c r="C105" s="1" t="s">
        <v>628</v>
      </c>
      <c r="D105" s="1">
        <v>2027.0</v>
      </c>
      <c r="E105" s="1" t="s">
        <v>277</v>
      </c>
      <c r="F105" s="1" t="s">
        <v>629</v>
      </c>
      <c r="G105" s="1">
        <v>3.0</v>
      </c>
      <c r="H105" s="1">
        <v>3.0</v>
      </c>
      <c r="I105" s="1">
        <v>2.0</v>
      </c>
      <c r="J105" s="1">
        <v>5.0</v>
      </c>
      <c r="K105" s="1">
        <v>5.0</v>
      </c>
      <c r="L105" s="1">
        <v>5.0</v>
      </c>
      <c r="M105" s="1">
        <v>3.0</v>
      </c>
      <c r="N105" s="1">
        <v>2.0</v>
      </c>
      <c r="O105" s="1">
        <v>3.0</v>
      </c>
      <c r="P105" s="1">
        <v>5.0</v>
      </c>
      <c r="Q105" s="1">
        <v>5.0</v>
      </c>
      <c r="R105" s="1">
        <v>5.0</v>
      </c>
      <c r="S105" s="1">
        <v>5.0</v>
      </c>
      <c r="T105" s="1">
        <v>2.0</v>
      </c>
      <c r="U105" s="1">
        <v>2.0</v>
      </c>
      <c r="V105" s="1">
        <v>4.0</v>
      </c>
      <c r="W105" s="1">
        <v>5.0</v>
      </c>
      <c r="X105" s="1">
        <v>3.0</v>
      </c>
      <c r="Y105" s="1">
        <v>5.0</v>
      </c>
      <c r="Z105" s="1">
        <v>2.0</v>
      </c>
      <c r="AA105" s="1">
        <v>3.0</v>
      </c>
      <c r="AB105" s="1">
        <v>5.0</v>
      </c>
      <c r="AC105" s="1">
        <v>5.0</v>
      </c>
      <c r="AD105" s="1">
        <v>5.0</v>
      </c>
      <c r="AE105" s="1">
        <v>2.0</v>
      </c>
      <c r="AF105" s="1">
        <v>3.0</v>
      </c>
      <c r="AG105" s="1">
        <v>4.0</v>
      </c>
      <c r="AH105" s="1">
        <v>5.0</v>
      </c>
      <c r="AI105" s="1">
        <v>5.0</v>
      </c>
      <c r="AJ105" s="1">
        <v>5.0</v>
      </c>
      <c r="AK105" s="1">
        <v>3.0</v>
      </c>
      <c r="AL105" s="1">
        <v>3.0</v>
      </c>
      <c r="AM105" s="1">
        <v>2.0</v>
      </c>
      <c r="AN105" s="1">
        <v>5.0</v>
      </c>
      <c r="AO105" s="1">
        <v>5.0</v>
      </c>
      <c r="AP105" s="1">
        <v>3.0</v>
      </c>
      <c r="AQ105" s="1">
        <v>5.0</v>
      </c>
      <c r="AR105" s="1">
        <v>4.0</v>
      </c>
      <c r="AS105" s="1">
        <v>5.0</v>
      </c>
      <c r="AT105" s="1">
        <v>5.0</v>
      </c>
      <c r="AU105" s="1">
        <v>5.0</v>
      </c>
      <c r="AV105" s="1">
        <v>4.0</v>
      </c>
      <c r="AW105" s="1">
        <v>3.0</v>
      </c>
      <c r="AX105" s="1">
        <v>3.0</v>
      </c>
      <c r="AY105" s="1">
        <v>1.0</v>
      </c>
      <c r="AZ105" s="1">
        <v>5.0</v>
      </c>
      <c r="BA105" s="1">
        <v>5.0</v>
      </c>
      <c r="BB105" s="1">
        <v>5.0</v>
      </c>
      <c r="BC105" s="1">
        <v>5.0</v>
      </c>
      <c r="BD105" s="1">
        <v>4.0</v>
      </c>
      <c r="BE105" s="1">
        <v>3.0</v>
      </c>
      <c r="BF105" s="1">
        <v>5.0</v>
      </c>
      <c r="BG105" s="1">
        <v>5.0</v>
      </c>
      <c r="BH105" s="1">
        <v>5.0</v>
      </c>
      <c r="BI105" s="1">
        <v>5.0</v>
      </c>
      <c r="BJ105" s="1">
        <v>5.0</v>
      </c>
      <c r="BK105" s="1">
        <v>3.0</v>
      </c>
      <c r="BL105" s="1">
        <v>5.0</v>
      </c>
      <c r="BM105" s="1">
        <v>5.0</v>
      </c>
      <c r="BN105" s="1">
        <v>5.0</v>
      </c>
      <c r="BO105" s="1">
        <v>3.0</v>
      </c>
      <c r="BP105" s="1">
        <v>2.0</v>
      </c>
      <c r="BQ105" s="1">
        <v>2.0</v>
      </c>
      <c r="BR105" s="1">
        <v>5.0</v>
      </c>
      <c r="BS105" s="1">
        <v>5.0</v>
      </c>
      <c r="BT105" s="1">
        <v>5.0</v>
      </c>
      <c r="BU105" s="1">
        <v>3.0</v>
      </c>
      <c r="BV105" s="1">
        <v>3.0</v>
      </c>
      <c r="BW105" s="1">
        <v>4.0</v>
      </c>
      <c r="BX105" s="1">
        <v>5.0</v>
      </c>
      <c r="BY105" s="1">
        <v>5.0</v>
      </c>
      <c r="BZ105" s="1">
        <v>5.0</v>
      </c>
    </row>
    <row r="106">
      <c r="A106" s="19">
        <v>46248.90717542824</v>
      </c>
      <c r="B106" s="1" t="s">
        <v>162</v>
      </c>
      <c r="C106" s="1" t="s">
        <v>633</v>
      </c>
      <c r="D106" s="1">
        <v>2023.0</v>
      </c>
      <c r="E106" s="1" t="s">
        <v>340</v>
      </c>
      <c r="F106" s="1" t="s">
        <v>634</v>
      </c>
      <c r="G106" s="1">
        <v>4.0</v>
      </c>
      <c r="H106" s="1">
        <v>4.0</v>
      </c>
      <c r="I106" s="1">
        <v>1.0</v>
      </c>
      <c r="J106" s="1">
        <v>4.0</v>
      </c>
      <c r="K106" s="1">
        <v>3.0</v>
      </c>
      <c r="L106" s="1">
        <v>3.0</v>
      </c>
      <c r="M106" s="1">
        <v>4.0</v>
      </c>
      <c r="N106" s="1">
        <v>4.0</v>
      </c>
      <c r="O106" s="1">
        <v>4.0</v>
      </c>
      <c r="P106" s="1">
        <v>2.0</v>
      </c>
      <c r="Q106" s="1">
        <v>2.0</v>
      </c>
      <c r="R106" s="1">
        <v>3.0</v>
      </c>
      <c r="S106" s="1">
        <v>2.0</v>
      </c>
      <c r="T106" s="1">
        <v>4.0</v>
      </c>
      <c r="U106" s="1">
        <v>1.0</v>
      </c>
      <c r="V106" s="1">
        <v>3.0</v>
      </c>
      <c r="W106" s="1">
        <v>3.0</v>
      </c>
      <c r="X106" s="1">
        <v>2.0</v>
      </c>
      <c r="Y106" s="1">
        <v>4.0</v>
      </c>
      <c r="Z106" s="1">
        <v>4.0</v>
      </c>
      <c r="AA106" s="1">
        <v>5.0</v>
      </c>
      <c r="AB106" s="1">
        <v>4.0</v>
      </c>
      <c r="AC106" s="1">
        <v>4.0</v>
      </c>
      <c r="AD106" s="1">
        <v>2.0</v>
      </c>
      <c r="AE106" s="1">
        <v>2.0</v>
      </c>
      <c r="AF106" s="1">
        <v>2.0</v>
      </c>
      <c r="AG106" s="1">
        <v>3.0</v>
      </c>
      <c r="AH106" s="1">
        <v>4.0</v>
      </c>
      <c r="AI106" s="1">
        <v>3.0</v>
      </c>
      <c r="AJ106" s="1">
        <v>2.0</v>
      </c>
      <c r="AK106" s="1">
        <v>3.0</v>
      </c>
      <c r="AL106" s="1">
        <v>3.0</v>
      </c>
      <c r="AM106" s="1">
        <v>2.0</v>
      </c>
      <c r="AN106" s="1">
        <v>3.0</v>
      </c>
      <c r="AO106" s="1">
        <v>4.0</v>
      </c>
      <c r="AP106" s="1">
        <v>2.0</v>
      </c>
      <c r="AQ106" s="1">
        <v>2.0</v>
      </c>
      <c r="AR106" s="1">
        <v>4.0</v>
      </c>
      <c r="AS106" s="1">
        <v>4.0</v>
      </c>
      <c r="AT106" s="1">
        <v>3.0</v>
      </c>
      <c r="AU106" s="1">
        <v>3.0</v>
      </c>
      <c r="AV106" s="1">
        <v>4.0</v>
      </c>
      <c r="AW106" s="1">
        <v>3.0</v>
      </c>
      <c r="AX106" s="1">
        <v>2.0</v>
      </c>
      <c r="AY106" s="1">
        <v>3.0</v>
      </c>
      <c r="AZ106" s="1">
        <v>3.0</v>
      </c>
      <c r="BA106" s="1">
        <v>2.0</v>
      </c>
      <c r="BB106" s="1">
        <v>4.0</v>
      </c>
      <c r="BC106" s="1">
        <v>3.0</v>
      </c>
      <c r="BD106" s="1">
        <v>3.0</v>
      </c>
      <c r="BE106" s="1">
        <v>2.0</v>
      </c>
      <c r="BF106" s="1">
        <v>2.0</v>
      </c>
      <c r="BG106" s="1">
        <v>2.0</v>
      </c>
      <c r="BH106" s="1">
        <v>3.0</v>
      </c>
      <c r="BI106" s="1">
        <v>3.0</v>
      </c>
      <c r="BJ106" s="1">
        <v>3.0</v>
      </c>
      <c r="BK106" s="1">
        <v>2.0</v>
      </c>
      <c r="BL106" s="1">
        <v>3.0</v>
      </c>
      <c r="BM106" s="1">
        <v>4.0</v>
      </c>
      <c r="BN106" s="1">
        <v>3.0</v>
      </c>
      <c r="BO106" s="1">
        <v>4.0</v>
      </c>
      <c r="BP106" s="1">
        <v>2.0</v>
      </c>
      <c r="BQ106" s="1">
        <v>3.0</v>
      </c>
      <c r="BR106" s="1">
        <v>3.0</v>
      </c>
      <c r="BS106" s="1">
        <v>3.0</v>
      </c>
      <c r="BT106" s="1">
        <v>4.0</v>
      </c>
      <c r="BU106" s="1">
        <v>2.0</v>
      </c>
      <c r="BV106" s="1">
        <v>2.0</v>
      </c>
      <c r="BW106" s="1">
        <v>4.0</v>
      </c>
      <c r="BX106" s="1">
        <v>2.0</v>
      </c>
      <c r="BY106" s="1">
        <v>3.0</v>
      </c>
      <c r="BZ106" s="1">
        <v>4.0</v>
      </c>
    </row>
    <row r="107">
      <c r="A107" s="19">
        <v>46248.933864861116</v>
      </c>
      <c r="B107" s="1" t="s">
        <v>162</v>
      </c>
      <c r="C107" s="1" t="s">
        <v>638</v>
      </c>
      <c r="D107" s="1">
        <v>2007.0</v>
      </c>
      <c r="E107" s="1" t="s">
        <v>239</v>
      </c>
      <c r="F107" s="1" t="s">
        <v>639</v>
      </c>
      <c r="G107" s="1">
        <v>4.0</v>
      </c>
      <c r="H107" s="1">
        <v>4.0</v>
      </c>
      <c r="I107" s="1">
        <v>2.0</v>
      </c>
      <c r="J107" s="1">
        <v>5.0</v>
      </c>
      <c r="K107" s="1">
        <v>5.0</v>
      </c>
      <c r="L107" s="1">
        <v>4.0</v>
      </c>
      <c r="M107" s="1">
        <v>5.0</v>
      </c>
      <c r="N107" s="1">
        <v>3.0</v>
      </c>
      <c r="O107" s="1">
        <v>5.0</v>
      </c>
      <c r="P107" s="1">
        <v>5.0</v>
      </c>
      <c r="Q107" s="1">
        <v>5.0</v>
      </c>
      <c r="R107" s="1">
        <v>5.0</v>
      </c>
      <c r="S107" s="1">
        <v>5.0</v>
      </c>
      <c r="T107" s="1">
        <v>5.0</v>
      </c>
      <c r="U107" s="1">
        <v>2.0</v>
      </c>
      <c r="V107" s="1">
        <v>4.0</v>
      </c>
      <c r="W107" s="1">
        <v>4.0</v>
      </c>
      <c r="X107" s="1">
        <v>3.0</v>
      </c>
      <c r="Y107" s="1">
        <v>5.0</v>
      </c>
      <c r="Z107" s="1">
        <v>5.0</v>
      </c>
      <c r="AA107" s="1">
        <v>2.0</v>
      </c>
      <c r="AB107" s="1">
        <v>4.0</v>
      </c>
      <c r="AC107" s="1">
        <v>5.0</v>
      </c>
      <c r="AD107" s="1">
        <v>4.0</v>
      </c>
      <c r="AE107" s="1">
        <v>1.0</v>
      </c>
      <c r="AF107" s="1">
        <v>3.0</v>
      </c>
      <c r="AG107" s="1">
        <v>4.0</v>
      </c>
      <c r="AH107" s="1">
        <v>5.0</v>
      </c>
      <c r="AI107" s="1">
        <v>4.0</v>
      </c>
      <c r="AJ107" s="1">
        <v>3.0</v>
      </c>
      <c r="AK107" s="1">
        <v>3.0</v>
      </c>
      <c r="AL107" s="1">
        <v>5.0</v>
      </c>
      <c r="AM107" s="1">
        <v>5.0</v>
      </c>
      <c r="AN107" s="1">
        <v>5.0</v>
      </c>
      <c r="AO107" s="1">
        <v>4.0</v>
      </c>
      <c r="AP107" s="1">
        <v>4.0</v>
      </c>
      <c r="AQ107" s="1">
        <v>4.0</v>
      </c>
      <c r="AR107" s="1">
        <v>4.0</v>
      </c>
      <c r="AS107" s="1">
        <v>4.0</v>
      </c>
      <c r="AT107" s="1">
        <v>5.0</v>
      </c>
      <c r="AU107" s="1">
        <v>5.0</v>
      </c>
      <c r="AV107" s="1">
        <v>5.0</v>
      </c>
      <c r="AW107" s="1">
        <v>3.0</v>
      </c>
      <c r="AX107" s="1">
        <v>2.0</v>
      </c>
      <c r="AY107" s="1">
        <v>3.0</v>
      </c>
      <c r="AZ107" s="1">
        <v>3.0</v>
      </c>
      <c r="BA107" s="1">
        <v>4.0</v>
      </c>
      <c r="BB107" s="1">
        <v>5.0</v>
      </c>
      <c r="BC107" s="1">
        <v>4.0</v>
      </c>
      <c r="BD107" s="1">
        <v>4.0</v>
      </c>
      <c r="BE107" s="1">
        <v>2.0</v>
      </c>
      <c r="BF107" s="1">
        <v>5.0</v>
      </c>
      <c r="BG107" s="1">
        <v>5.0</v>
      </c>
      <c r="BH107" s="1">
        <v>4.0</v>
      </c>
      <c r="BI107" s="1">
        <v>5.0</v>
      </c>
      <c r="BJ107" s="1">
        <v>4.0</v>
      </c>
      <c r="BK107" s="1">
        <v>5.0</v>
      </c>
      <c r="BL107" s="1">
        <v>5.0</v>
      </c>
      <c r="BM107" s="1">
        <v>5.0</v>
      </c>
      <c r="BN107" s="1">
        <v>2.0</v>
      </c>
      <c r="BO107" s="1">
        <v>4.0</v>
      </c>
      <c r="BP107" s="1">
        <v>4.0</v>
      </c>
      <c r="BQ107" s="1">
        <v>4.0</v>
      </c>
      <c r="BR107" s="1">
        <v>5.0</v>
      </c>
      <c r="BS107" s="1">
        <v>5.0</v>
      </c>
      <c r="BT107" s="1">
        <v>5.0</v>
      </c>
      <c r="BU107" s="1">
        <v>5.0</v>
      </c>
      <c r="BV107" s="1">
        <v>4.0</v>
      </c>
      <c r="BW107" s="1">
        <v>4.0</v>
      </c>
      <c r="BX107" s="1">
        <v>4.0</v>
      </c>
      <c r="BY107" s="1">
        <v>4.0</v>
      </c>
      <c r="BZ107" s="1">
        <v>4.0</v>
      </c>
    </row>
    <row r="108">
      <c r="A108" s="19">
        <v>46249.71830045139</v>
      </c>
      <c r="B108" s="1" t="s">
        <v>162</v>
      </c>
      <c r="C108" s="1" t="s">
        <v>643</v>
      </c>
      <c r="D108" s="1" t="s">
        <v>644</v>
      </c>
      <c r="E108" s="1" t="s">
        <v>356</v>
      </c>
      <c r="F108" s="1" t="s">
        <v>645</v>
      </c>
      <c r="G108" s="1">
        <v>4.0</v>
      </c>
      <c r="H108" s="1">
        <v>4.0</v>
      </c>
      <c r="I108" s="1">
        <v>5.0</v>
      </c>
      <c r="J108" s="1">
        <v>5.0</v>
      </c>
      <c r="K108" s="1">
        <v>4.0</v>
      </c>
      <c r="L108" s="1">
        <v>2.0</v>
      </c>
      <c r="M108" s="1">
        <v>2.0</v>
      </c>
      <c r="N108" s="1">
        <v>5.0</v>
      </c>
      <c r="O108" s="1">
        <v>4.0</v>
      </c>
      <c r="P108" s="1">
        <v>4.0</v>
      </c>
      <c r="Q108" s="1">
        <v>3.0</v>
      </c>
      <c r="R108" s="1">
        <v>5.0</v>
      </c>
      <c r="S108" s="1">
        <v>3.0</v>
      </c>
      <c r="T108" s="1">
        <v>4.0</v>
      </c>
      <c r="U108" s="1">
        <v>2.0</v>
      </c>
      <c r="V108" s="1">
        <v>5.0</v>
      </c>
      <c r="W108" s="1">
        <v>4.0</v>
      </c>
      <c r="X108" s="1">
        <v>3.0</v>
      </c>
      <c r="Y108" s="1">
        <v>5.0</v>
      </c>
      <c r="Z108" s="1">
        <v>5.0</v>
      </c>
      <c r="AA108" s="1">
        <v>5.0</v>
      </c>
      <c r="AB108" s="1">
        <v>5.0</v>
      </c>
      <c r="AC108" s="1">
        <v>4.0</v>
      </c>
      <c r="AD108" s="1">
        <v>2.0</v>
      </c>
      <c r="AE108" s="1">
        <v>1.0</v>
      </c>
      <c r="AF108" s="1">
        <v>4.0</v>
      </c>
      <c r="AG108" s="1">
        <v>4.0</v>
      </c>
      <c r="AH108" s="1">
        <v>5.0</v>
      </c>
      <c r="AI108" s="1">
        <v>4.0</v>
      </c>
      <c r="AJ108" s="1">
        <v>4.0</v>
      </c>
      <c r="AK108" s="1">
        <v>5.0</v>
      </c>
      <c r="AL108" s="1">
        <v>4.0</v>
      </c>
      <c r="AM108" s="1">
        <v>3.0</v>
      </c>
      <c r="AN108" s="1">
        <v>5.0</v>
      </c>
      <c r="AO108" s="1">
        <v>3.0</v>
      </c>
      <c r="AP108" s="1">
        <v>2.0</v>
      </c>
      <c r="AQ108" s="1">
        <v>2.0</v>
      </c>
      <c r="AR108" s="1">
        <v>4.0</v>
      </c>
      <c r="AS108" s="1">
        <v>5.0</v>
      </c>
      <c r="AT108" s="1">
        <v>5.0</v>
      </c>
      <c r="AU108" s="1">
        <v>4.0</v>
      </c>
      <c r="AV108" s="1">
        <v>5.0</v>
      </c>
      <c r="AW108" s="1">
        <v>4.0</v>
      </c>
      <c r="AX108" s="1">
        <v>4.0</v>
      </c>
      <c r="AY108" s="1">
        <v>5.0</v>
      </c>
      <c r="AZ108" s="1">
        <v>5.0</v>
      </c>
      <c r="BA108" s="1">
        <v>4.0</v>
      </c>
      <c r="BB108" s="1">
        <v>5.0</v>
      </c>
      <c r="BC108" s="1">
        <v>5.0</v>
      </c>
      <c r="BD108" s="1">
        <v>4.0</v>
      </c>
      <c r="BE108" s="1">
        <v>5.0</v>
      </c>
      <c r="BF108" s="1">
        <v>4.0</v>
      </c>
      <c r="BG108" s="1">
        <v>4.0</v>
      </c>
      <c r="BH108" s="1">
        <v>5.0</v>
      </c>
      <c r="BI108" s="1">
        <v>5.0</v>
      </c>
      <c r="BJ108" s="1">
        <v>5.0</v>
      </c>
      <c r="BK108" s="1">
        <v>4.0</v>
      </c>
      <c r="BL108" s="1">
        <v>4.0</v>
      </c>
      <c r="BM108" s="1">
        <v>5.0</v>
      </c>
      <c r="BN108" s="1">
        <v>4.0</v>
      </c>
      <c r="BO108" s="1">
        <v>4.0</v>
      </c>
      <c r="BP108" s="1">
        <v>4.0</v>
      </c>
      <c r="BQ108" s="1">
        <v>5.0</v>
      </c>
      <c r="BR108" s="1">
        <v>5.0</v>
      </c>
      <c r="BS108" s="1">
        <v>4.0</v>
      </c>
      <c r="BT108" s="1">
        <v>5.0</v>
      </c>
      <c r="BU108" s="1">
        <v>3.0</v>
      </c>
      <c r="BV108" s="1">
        <v>4.0</v>
      </c>
      <c r="BW108" s="1">
        <v>4.0</v>
      </c>
      <c r="BX108" s="1">
        <v>5.0</v>
      </c>
      <c r="BY108" s="1">
        <v>5.0</v>
      </c>
      <c r="BZ108" s="1">
        <v>5.0</v>
      </c>
    </row>
    <row r="109">
      <c r="A109" s="19">
        <v>46252.58978800926</v>
      </c>
      <c r="B109" s="1" t="s">
        <v>162</v>
      </c>
      <c r="C109" s="1" t="s">
        <v>295</v>
      </c>
      <c r="D109" s="1">
        <v>1989.0</v>
      </c>
      <c r="E109" s="1" t="s">
        <v>649</v>
      </c>
      <c r="F109" s="1" t="s">
        <v>297</v>
      </c>
      <c r="G109" s="1">
        <v>4.0</v>
      </c>
      <c r="H109" s="1">
        <v>5.0</v>
      </c>
      <c r="I109" s="1">
        <v>4.0</v>
      </c>
      <c r="J109" s="1">
        <v>4.0</v>
      </c>
      <c r="K109" s="1">
        <v>4.0</v>
      </c>
      <c r="L109" s="1">
        <v>4.0</v>
      </c>
      <c r="M109" s="1">
        <v>4.0</v>
      </c>
      <c r="N109" s="1">
        <v>4.0</v>
      </c>
      <c r="O109" s="1">
        <v>4.0</v>
      </c>
      <c r="P109" s="1">
        <v>5.0</v>
      </c>
      <c r="Q109" s="1">
        <v>5.0</v>
      </c>
      <c r="R109" s="1">
        <v>4.0</v>
      </c>
      <c r="S109" s="1">
        <v>4.0</v>
      </c>
      <c r="T109" s="1">
        <v>4.0</v>
      </c>
      <c r="U109" s="1">
        <v>4.0</v>
      </c>
      <c r="V109" s="1">
        <v>4.0</v>
      </c>
      <c r="W109" s="1">
        <v>4.0</v>
      </c>
      <c r="X109" s="1">
        <v>4.0</v>
      </c>
      <c r="Y109" s="1">
        <v>4.0</v>
      </c>
      <c r="Z109" s="1">
        <v>4.0</v>
      </c>
      <c r="AA109" s="1">
        <v>4.0</v>
      </c>
      <c r="AB109" s="1">
        <v>5.0</v>
      </c>
      <c r="AC109" s="1">
        <v>5.0</v>
      </c>
      <c r="AD109" s="1">
        <v>4.0</v>
      </c>
      <c r="AE109" s="1">
        <v>5.0</v>
      </c>
      <c r="AF109" s="1">
        <v>4.0</v>
      </c>
      <c r="AG109" s="1">
        <v>5.0</v>
      </c>
      <c r="AH109" s="1">
        <v>4.0</v>
      </c>
      <c r="AI109" s="1">
        <v>5.0</v>
      </c>
      <c r="AJ109" s="1">
        <v>4.0</v>
      </c>
      <c r="AK109" s="1">
        <v>4.0</v>
      </c>
      <c r="AL109" s="1">
        <v>4.0</v>
      </c>
      <c r="AM109" s="1">
        <v>4.0</v>
      </c>
      <c r="AN109" s="1">
        <v>4.0</v>
      </c>
      <c r="AO109" s="1">
        <v>5.0</v>
      </c>
      <c r="AP109" s="1">
        <v>4.0</v>
      </c>
      <c r="AQ109" s="1">
        <v>5.0</v>
      </c>
      <c r="AR109" s="1">
        <v>4.0</v>
      </c>
      <c r="AS109" s="1">
        <v>5.0</v>
      </c>
      <c r="AT109" s="1">
        <v>4.0</v>
      </c>
      <c r="AU109" s="1">
        <v>5.0</v>
      </c>
      <c r="AV109" s="1">
        <v>4.0</v>
      </c>
      <c r="AW109" s="1">
        <v>5.0</v>
      </c>
      <c r="AX109" s="1">
        <v>4.0</v>
      </c>
      <c r="AY109" s="1">
        <v>4.0</v>
      </c>
      <c r="AZ109" s="1">
        <v>4.0</v>
      </c>
      <c r="BA109" s="1">
        <v>5.0</v>
      </c>
      <c r="BB109" s="1">
        <v>4.0</v>
      </c>
      <c r="BC109" s="1">
        <v>4.0</v>
      </c>
      <c r="BD109" s="1">
        <v>4.0</v>
      </c>
      <c r="BE109" s="1">
        <v>4.0</v>
      </c>
      <c r="BF109" s="1">
        <v>5.0</v>
      </c>
      <c r="BG109" s="1">
        <v>5.0</v>
      </c>
      <c r="BH109" s="1">
        <v>4.0</v>
      </c>
      <c r="BI109" s="1">
        <v>5.0</v>
      </c>
      <c r="BJ109" s="1">
        <v>4.0</v>
      </c>
      <c r="BK109" s="1">
        <v>3.0</v>
      </c>
      <c r="BL109" s="1">
        <v>5.0</v>
      </c>
      <c r="BM109" s="1">
        <v>5.0</v>
      </c>
      <c r="BN109" s="1">
        <v>3.0</v>
      </c>
      <c r="BO109" s="1">
        <v>4.0</v>
      </c>
      <c r="BP109" s="1">
        <v>5.0</v>
      </c>
      <c r="BQ109" s="1">
        <v>5.0</v>
      </c>
      <c r="BR109" s="1">
        <v>4.0</v>
      </c>
      <c r="BS109" s="1">
        <v>5.0</v>
      </c>
      <c r="BT109" s="1">
        <v>4.0</v>
      </c>
      <c r="BU109" s="1">
        <v>4.0</v>
      </c>
      <c r="BV109" s="1">
        <v>4.0</v>
      </c>
      <c r="BW109" s="1">
        <v>4.0</v>
      </c>
      <c r="BX109" s="1">
        <v>4.0</v>
      </c>
      <c r="BY109" s="1">
        <v>3.0</v>
      </c>
      <c r="BZ109" s="1">
        <v>4.0</v>
      </c>
    </row>
    <row r="110">
      <c r="A110" s="19">
        <v>46252.607678229164</v>
      </c>
      <c r="B110" s="1" t="s">
        <v>162</v>
      </c>
      <c r="C110" s="1" t="s">
        <v>653</v>
      </c>
      <c r="D110" s="1">
        <v>2015.0</v>
      </c>
      <c r="E110" s="1" t="s">
        <v>321</v>
      </c>
      <c r="F110" s="1" t="s">
        <v>251</v>
      </c>
      <c r="G110" s="1">
        <v>3.0</v>
      </c>
      <c r="H110" s="1">
        <v>1.0</v>
      </c>
      <c r="I110" s="1">
        <v>4.0</v>
      </c>
      <c r="J110" s="1">
        <v>4.0</v>
      </c>
      <c r="K110" s="1">
        <v>1.0</v>
      </c>
      <c r="L110" s="1">
        <v>4.0</v>
      </c>
      <c r="M110" s="1">
        <v>3.0</v>
      </c>
      <c r="N110" s="1">
        <v>2.0</v>
      </c>
      <c r="O110" s="1">
        <v>3.0</v>
      </c>
      <c r="P110" s="1">
        <v>3.0</v>
      </c>
      <c r="Q110" s="1">
        <v>2.0</v>
      </c>
      <c r="R110" s="1">
        <v>3.0</v>
      </c>
      <c r="S110" s="1">
        <v>2.0</v>
      </c>
      <c r="T110" s="1">
        <v>4.0</v>
      </c>
      <c r="U110" s="1">
        <v>2.0</v>
      </c>
      <c r="V110" s="1">
        <v>4.0</v>
      </c>
      <c r="W110" s="1">
        <v>3.0</v>
      </c>
      <c r="X110" s="1">
        <v>2.0</v>
      </c>
      <c r="Y110" s="1">
        <v>3.0</v>
      </c>
      <c r="Z110" s="1">
        <v>2.0</v>
      </c>
      <c r="AA110" s="1">
        <v>3.0</v>
      </c>
      <c r="AB110" s="1">
        <v>2.0</v>
      </c>
      <c r="AC110" s="1">
        <v>2.0</v>
      </c>
      <c r="AD110" s="1">
        <v>3.0</v>
      </c>
      <c r="AE110" s="1">
        <v>3.0</v>
      </c>
      <c r="AF110" s="1">
        <v>2.0</v>
      </c>
      <c r="AG110" s="1">
        <v>3.0</v>
      </c>
      <c r="AH110" s="1">
        <v>3.0</v>
      </c>
      <c r="AI110" s="1">
        <v>3.0</v>
      </c>
      <c r="AJ110" s="1">
        <v>4.0</v>
      </c>
      <c r="AK110" s="1">
        <v>2.0</v>
      </c>
      <c r="AL110" s="1">
        <v>3.0</v>
      </c>
      <c r="AM110" s="1">
        <v>2.0</v>
      </c>
      <c r="AN110" s="1">
        <v>3.0</v>
      </c>
      <c r="AO110" s="1">
        <v>2.0</v>
      </c>
      <c r="AP110" s="1">
        <v>3.0</v>
      </c>
      <c r="AQ110" s="1">
        <v>3.0</v>
      </c>
      <c r="AR110" s="1">
        <v>2.0</v>
      </c>
      <c r="AS110" s="1">
        <v>3.0</v>
      </c>
      <c r="AT110" s="1">
        <v>2.0</v>
      </c>
      <c r="AU110" s="1">
        <v>3.0</v>
      </c>
      <c r="AV110" s="1">
        <v>3.0</v>
      </c>
      <c r="AW110" s="1">
        <v>4.0</v>
      </c>
      <c r="AX110" s="1">
        <v>2.0</v>
      </c>
      <c r="AY110" s="1">
        <v>3.0</v>
      </c>
      <c r="AZ110" s="1">
        <v>2.0</v>
      </c>
      <c r="BA110" s="1">
        <v>2.0</v>
      </c>
      <c r="BB110" s="1">
        <v>3.0</v>
      </c>
      <c r="BC110" s="1">
        <v>2.0</v>
      </c>
      <c r="BD110" s="1">
        <v>4.0</v>
      </c>
      <c r="BE110" s="1">
        <v>2.0</v>
      </c>
      <c r="BF110" s="1">
        <v>4.0</v>
      </c>
      <c r="BG110" s="1">
        <v>3.0</v>
      </c>
      <c r="BH110" s="1">
        <v>3.0</v>
      </c>
      <c r="BI110" s="1">
        <v>3.0</v>
      </c>
      <c r="BJ110" s="1">
        <v>4.0</v>
      </c>
      <c r="BK110" s="1">
        <v>4.0</v>
      </c>
      <c r="BL110" s="1">
        <v>4.0</v>
      </c>
      <c r="BM110" s="1">
        <v>5.0</v>
      </c>
      <c r="BN110" s="1">
        <v>2.0</v>
      </c>
      <c r="BO110" s="1">
        <v>3.0</v>
      </c>
      <c r="BP110" s="1">
        <v>3.0</v>
      </c>
      <c r="BQ110" s="1">
        <v>3.0</v>
      </c>
      <c r="BR110" s="1">
        <v>5.0</v>
      </c>
      <c r="BS110" s="1">
        <v>5.0</v>
      </c>
      <c r="BT110" s="1">
        <v>4.0</v>
      </c>
      <c r="BU110" s="1">
        <v>2.0</v>
      </c>
      <c r="BV110" s="1">
        <v>3.0</v>
      </c>
      <c r="BW110" s="1">
        <v>2.0</v>
      </c>
      <c r="BX110" s="1">
        <v>3.0</v>
      </c>
      <c r="BY110" s="1">
        <v>2.0</v>
      </c>
      <c r="BZ110" s="1">
        <v>3.0</v>
      </c>
    </row>
    <row r="111">
      <c r="A111" s="19">
        <v>46252.607828252316</v>
      </c>
      <c r="B111" s="1" t="s">
        <v>162</v>
      </c>
      <c r="C111" s="1" t="s">
        <v>207</v>
      </c>
      <c r="D111" s="1">
        <v>2025.0</v>
      </c>
      <c r="E111" s="1" t="s">
        <v>321</v>
      </c>
      <c r="F111" s="1" t="s">
        <v>240</v>
      </c>
      <c r="G111" s="1">
        <v>5.0</v>
      </c>
      <c r="H111" s="1">
        <v>5.0</v>
      </c>
      <c r="I111" s="1">
        <v>5.0</v>
      </c>
      <c r="J111" s="1">
        <v>5.0</v>
      </c>
      <c r="K111" s="1">
        <v>5.0</v>
      </c>
      <c r="L111" s="1">
        <v>5.0</v>
      </c>
      <c r="M111" s="1">
        <v>5.0</v>
      </c>
      <c r="N111" s="1">
        <v>2.0</v>
      </c>
      <c r="O111" s="1">
        <v>5.0</v>
      </c>
      <c r="P111" s="1">
        <v>5.0</v>
      </c>
      <c r="Q111" s="1">
        <v>2.0</v>
      </c>
      <c r="R111" s="1">
        <v>5.0</v>
      </c>
      <c r="S111" s="1">
        <v>5.0</v>
      </c>
      <c r="T111" s="1">
        <v>5.0</v>
      </c>
      <c r="U111" s="1">
        <v>2.0</v>
      </c>
      <c r="V111" s="1">
        <v>5.0</v>
      </c>
      <c r="W111" s="1">
        <v>5.0</v>
      </c>
      <c r="X111" s="1">
        <v>5.0</v>
      </c>
      <c r="Y111" s="1">
        <v>5.0</v>
      </c>
      <c r="Z111" s="1">
        <v>5.0</v>
      </c>
      <c r="AA111" s="1">
        <v>5.0</v>
      </c>
      <c r="AB111" s="1">
        <v>2.0</v>
      </c>
      <c r="AC111" s="1">
        <v>5.0</v>
      </c>
      <c r="AD111" s="1">
        <v>2.0</v>
      </c>
      <c r="AE111" s="1">
        <v>5.0</v>
      </c>
      <c r="AF111" s="1">
        <v>5.0</v>
      </c>
      <c r="AG111" s="1">
        <v>5.0</v>
      </c>
      <c r="AH111" s="1">
        <v>5.0</v>
      </c>
      <c r="AI111" s="1">
        <v>2.0</v>
      </c>
      <c r="AJ111" s="1">
        <v>5.0</v>
      </c>
      <c r="AK111" s="1">
        <v>5.0</v>
      </c>
      <c r="AL111" s="1">
        <v>2.0</v>
      </c>
      <c r="AM111" s="1">
        <v>2.0</v>
      </c>
      <c r="AN111" s="1">
        <v>4.0</v>
      </c>
      <c r="AO111" s="1">
        <v>5.0</v>
      </c>
      <c r="AP111" s="1">
        <v>2.0</v>
      </c>
      <c r="AQ111" s="1">
        <v>5.0</v>
      </c>
      <c r="AR111" s="1">
        <v>2.0</v>
      </c>
      <c r="AS111" s="1">
        <v>5.0</v>
      </c>
      <c r="AT111" s="1">
        <v>2.0</v>
      </c>
      <c r="AU111" s="1">
        <v>5.0</v>
      </c>
      <c r="AV111" s="1">
        <v>5.0</v>
      </c>
      <c r="AW111" s="1">
        <v>5.0</v>
      </c>
      <c r="AX111" s="1">
        <v>5.0</v>
      </c>
      <c r="AY111" s="1">
        <v>5.0</v>
      </c>
      <c r="AZ111" s="1">
        <v>5.0</v>
      </c>
      <c r="BA111" s="1">
        <v>5.0</v>
      </c>
      <c r="BB111" s="1">
        <v>5.0</v>
      </c>
      <c r="BC111" s="1">
        <v>2.0</v>
      </c>
      <c r="BD111" s="1">
        <v>5.0</v>
      </c>
      <c r="BE111" s="1">
        <v>2.0</v>
      </c>
      <c r="BF111" s="1">
        <v>5.0</v>
      </c>
      <c r="BG111" s="1">
        <v>5.0</v>
      </c>
      <c r="BH111" s="1">
        <v>3.0</v>
      </c>
      <c r="BI111" s="1">
        <v>5.0</v>
      </c>
      <c r="BJ111" s="1">
        <v>3.0</v>
      </c>
      <c r="BK111" s="1">
        <v>5.0</v>
      </c>
      <c r="BL111" s="1">
        <v>5.0</v>
      </c>
      <c r="BM111" s="1">
        <v>5.0</v>
      </c>
      <c r="BN111" s="1">
        <v>4.0</v>
      </c>
      <c r="BO111" s="1">
        <v>4.0</v>
      </c>
      <c r="BP111" s="1">
        <v>3.0</v>
      </c>
      <c r="BQ111" s="1">
        <v>5.0</v>
      </c>
      <c r="BR111" s="1">
        <v>4.0</v>
      </c>
      <c r="BS111" s="1">
        <v>4.0</v>
      </c>
      <c r="BT111" s="1">
        <v>5.0</v>
      </c>
      <c r="BU111" s="1">
        <v>3.0</v>
      </c>
      <c r="BV111" s="1">
        <v>5.0</v>
      </c>
      <c r="BW111" s="1">
        <v>5.0</v>
      </c>
      <c r="BX111" s="1">
        <v>5.0</v>
      </c>
      <c r="BY111" s="1">
        <v>4.0</v>
      </c>
      <c r="BZ111" s="1">
        <v>5.0</v>
      </c>
    </row>
    <row r="112">
      <c r="A112" s="19">
        <v>46254.41716549768</v>
      </c>
      <c r="B112" s="1" t="s">
        <v>162</v>
      </c>
      <c r="C112" s="1" t="s">
        <v>659</v>
      </c>
      <c r="D112" s="1">
        <v>2025.0</v>
      </c>
      <c r="E112" s="1" t="s">
        <v>225</v>
      </c>
      <c r="F112" s="1" t="s">
        <v>660</v>
      </c>
      <c r="G112" s="1">
        <v>2.0</v>
      </c>
      <c r="H112" s="1">
        <v>3.0</v>
      </c>
      <c r="I112" s="1">
        <v>4.0</v>
      </c>
      <c r="J112" s="1">
        <v>5.0</v>
      </c>
      <c r="K112" s="1">
        <v>5.0</v>
      </c>
      <c r="L112" s="1">
        <v>5.0</v>
      </c>
      <c r="M112" s="1">
        <v>3.0</v>
      </c>
      <c r="N112" s="1">
        <v>5.0</v>
      </c>
      <c r="O112" s="1">
        <v>4.0</v>
      </c>
      <c r="P112" s="1">
        <v>4.0</v>
      </c>
      <c r="Q112" s="1">
        <v>5.0</v>
      </c>
      <c r="R112" s="1">
        <v>5.0</v>
      </c>
      <c r="S112" s="1">
        <v>3.0</v>
      </c>
      <c r="T112" s="1">
        <v>5.0</v>
      </c>
      <c r="U112" s="1">
        <v>4.0</v>
      </c>
      <c r="V112" s="1">
        <v>4.0</v>
      </c>
      <c r="W112" s="1">
        <v>5.0</v>
      </c>
      <c r="X112" s="1">
        <v>5.0</v>
      </c>
      <c r="Y112" s="1">
        <v>4.0</v>
      </c>
      <c r="Z112" s="1">
        <v>5.0</v>
      </c>
      <c r="AA112" s="1">
        <v>5.0</v>
      </c>
      <c r="AB112" s="1">
        <v>5.0</v>
      </c>
      <c r="AC112" s="1">
        <v>5.0</v>
      </c>
      <c r="AD112" s="1">
        <v>4.0</v>
      </c>
      <c r="AE112" s="1">
        <v>4.0</v>
      </c>
      <c r="AF112" s="1">
        <v>5.0</v>
      </c>
      <c r="AG112" s="1">
        <v>4.0</v>
      </c>
      <c r="AH112" s="1">
        <v>5.0</v>
      </c>
      <c r="AI112" s="1">
        <v>5.0</v>
      </c>
      <c r="AJ112" s="1">
        <v>2.0</v>
      </c>
      <c r="AK112" s="1">
        <v>2.0</v>
      </c>
      <c r="AL112" s="1">
        <v>5.0</v>
      </c>
      <c r="AM112" s="1">
        <v>4.0</v>
      </c>
      <c r="AN112" s="1">
        <v>4.0</v>
      </c>
      <c r="AO112" s="1">
        <v>4.0</v>
      </c>
      <c r="AP112" s="1">
        <v>2.0</v>
      </c>
      <c r="AQ112" s="1">
        <v>2.0</v>
      </c>
      <c r="AR112" s="1">
        <v>5.0</v>
      </c>
      <c r="AS112" s="1">
        <v>2.0</v>
      </c>
      <c r="AT112" s="1">
        <v>4.0</v>
      </c>
      <c r="AU112" s="1">
        <v>5.0</v>
      </c>
      <c r="AV112" s="1">
        <v>5.0</v>
      </c>
      <c r="AW112" s="1">
        <v>3.0</v>
      </c>
      <c r="AX112" s="1">
        <v>5.0</v>
      </c>
      <c r="AY112" s="1">
        <v>4.0</v>
      </c>
      <c r="AZ112" s="1">
        <v>4.0</v>
      </c>
      <c r="BA112" s="1">
        <v>5.0</v>
      </c>
      <c r="BB112" s="1">
        <v>5.0</v>
      </c>
      <c r="BC112" s="1">
        <v>2.0</v>
      </c>
      <c r="BD112" s="1">
        <v>4.0</v>
      </c>
      <c r="BE112" s="1">
        <v>4.0</v>
      </c>
      <c r="BF112" s="1">
        <v>5.0</v>
      </c>
      <c r="BG112" s="1">
        <v>5.0</v>
      </c>
      <c r="BH112" s="1">
        <v>5.0</v>
      </c>
      <c r="BI112" s="1">
        <v>4.0</v>
      </c>
      <c r="BJ112" s="1">
        <v>5.0</v>
      </c>
      <c r="BK112" s="1">
        <v>5.0</v>
      </c>
      <c r="BL112" s="1">
        <v>4.0</v>
      </c>
      <c r="BM112" s="1">
        <v>5.0</v>
      </c>
      <c r="BN112" s="1">
        <v>5.0</v>
      </c>
      <c r="BO112" s="1">
        <v>4.0</v>
      </c>
      <c r="BP112" s="1">
        <v>4.0</v>
      </c>
      <c r="BQ112" s="1">
        <v>5.0</v>
      </c>
      <c r="BR112" s="1">
        <v>5.0</v>
      </c>
      <c r="BS112" s="1">
        <v>3.0</v>
      </c>
      <c r="BT112" s="1">
        <v>4.0</v>
      </c>
      <c r="BU112" s="1">
        <v>5.0</v>
      </c>
      <c r="BV112" s="1">
        <v>5.0</v>
      </c>
      <c r="BW112" s="1">
        <v>5.0</v>
      </c>
      <c r="BX112" s="1">
        <v>4.0</v>
      </c>
      <c r="BY112" s="1">
        <v>5.0</v>
      </c>
      <c r="BZ112" s="1">
        <v>5.0</v>
      </c>
    </row>
    <row r="113">
      <c r="A113" s="19">
        <v>46254.55019028935</v>
      </c>
      <c r="B113" s="1" t="s">
        <v>162</v>
      </c>
      <c r="C113" s="1" t="s">
        <v>207</v>
      </c>
      <c r="D113" s="1">
        <v>2025.0</v>
      </c>
      <c r="E113" s="1" t="s">
        <v>239</v>
      </c>
      <c r="F113" s="1" t="s">
        <v>240</v>
      </c>
      <c r="G113" s="1">
        <v>5.0</v>
      </c>
      <c r="H113" s="1">
        <v>5.0</v>
      </c>
      <c r="I113" s="1">
        <v>5.0</v>
      </c>
      <c r="J113" s="1">
        <v>5.0</v>
      </c>
      <c r="K113" s="1">
        <v>5.0</v>
      </c>
      <c r="L113" s="1">
        <v>5.0</v>
      </c>
      <c r="M113" s="1">
        <v>2.0</v>
      </c>
      <c r="N113" s="1">
        <v>2.0</v>
      </c>
      <c r="O113" s="1">
        <v>5.0</v>
      </c>
      <c r="P113" s="1">
        <v>5.0</v>
      </c>
      <c r="Q113" s="1">
        <v>3.0</v>
      </c>
      <c r="R113" s="1">
        <v>5.0</v>
      </c>
      <c r="S113" s="1">
        <v>5.0</v>
      </c>
      <c r="T113" s="1">
        <v>5.0</v>
      </c>
      <c r="U113" s="1">
        <v>2.0</v>
      </c>
      <c r="V113" s="1">
        <v>5.0</v>
      </c>
      <c r="W113" s="1">
        <v>2.0</v>
      </c>
      <c r="X113" s="1">
        <v>2.0</v>
      </c>
      <c r="Y113" s="1">
        <v>5.0</v>
      </c>
      <c r="Z113" s="1">
        <v>2.0</v>
      </c>
      <c r="AA113" s="1">
        <v>5.0</v>
      </c>
      <c r="AB113" s="1">
        <v>5.0</v>
      </c>
      <c r="AC113" s="1">
        <v>5.0</v>
      </c>
      <c r="AD113" s="1">
        <v>2.0</v>
      </c>
      <c r="AE113" s="1">
        <v>5.0</v>
      </c>
      <c r="AF113" s="1">
        <v>5.0</v>
      </c>
      <c r="AG113" s="1">
        <v>2.0</v>
      </c>
      <c r="AH113" s="1">
        <v>2.0</v>
      </c>
      <c r="AI113" s="1">
        <v>2.0</v>
      </c>
      <c r="AJ113" s="1">
        <v>5.0</v>
      </c>
      <c r="AK113" s="1">
        <v>5.0</v>
      </c>
      <c r="AL113" s="1">
        <v>5.0</v>
      </c>
      <c r="AM113" s="1">
        <v>3.0</v>
      </c>
      <c r="AN113" s="1">
        <v>5.0</v>
      </c>
      <c r="AO113" s="1">
        <v>5.0</v>
      </c>
      <c r="AP113" s="1">
        <v>4.0</v>
      </c>
      <c r="AQ113" s="1">
        <v>5.0</v>
      </c>
      <c r="AR113" s="1">
        <v>2.0</v>
      </c>
      <c r="AS113" s="1">
        <v>4.0</v>
      </c>
      <c r="AT113" s="1">
        <v>3.0</v>
      </c>
      <c r="AU113" s="1">
        <v>5.0</v>
      </c>
      <c r="AV113" s="1">
        <v>5.0</v>
      </c>
      <c r="AW113" s="1">
        <v>2.0</v>
      </c>
      <c r="AX113" s="1">
        <v>5.0</v>
      </c>
      <c r="AY113" s="1">
        <v>5.0</v>
      </c>
      <c r="AZ113" s="1">
        <v>5.0</v>
      </c>
      <c r="BA113" s="1">
        <v>5.0</v>
      </c>
      <c r="BB113" s="1">
        <v>3.0</v>
      </c>
      <c r="BC113" s="1">
        <v>3.0</v>
      </c>
      <c r="BD113" s="1">
        <v>3.0</v>
      </c>
      <c r="BE113" s="1">
        <v>5.0</v>
      </c>
      <c r="BF113" s="1">
        <v>5.0</v>
      </c>
      <c r="BG113" s="1">
        <v>5.0</v>
      </c>
      <c r="BH113" s="1">
        <v>4.0</v>
      </c>
      <c r="BI113" s="1">
        <v>4.0</v>
      </c>
      <c r="BJ113" s="1">
        <v>5.0</v>
      </c>
      <c r="BK113" s="1">
        <v>3.0</v>
      </c>
      <c r="BL113" s="1">
        <v>5.0</v>
      </c>
      <c r="BM113" s="1">
        <v>3.0</v>
      </c>
      <c r="BN113" s="1">
        <v>5.0</v>
      </c>
      <c r="BO113" s="1">
        <v>5.0</v>
      </c>
      <c r="BP113" s="1">
        <v>5.0</v>
      </c>
      <c r="BQ113" s="1">
        <v>3.0</v>
      </c>
      <c r="BR113" s="1">
        <v>5.0</v>
      </c>
      <c r="BS113" s="1">
        <v>4.0</v>
      </c>
      <c r="BT113" s="1">
        <v>4.0</v>
      </c>
      <c r="BU113" s="1">
        <v>5.0</v>
      </c>
      <c r="BV113" s="1">
        <v>5.0</v>
      </c>
      <c r="BW113" s="1">
        <v>5.0</v>
      </c>
      <c r="BX113" s="1">
        <v>3.0</v>
      </c>
      <c r="BY113" s="1">
        <v>2.0</v>
      </c>
      <c r="BZ113" s="1">
        <v>4.0</v>
      </c>
    </row>
    <row r="114">
      <c r="A114" s="19">
        <v>46254.550198425924</v>
      </c>
      <c r="B114" s="1" t="s">
        <v>162</v>
      </c>
      <c r="C114" s="1" t="s">
        <v>653</v>
      </c>
      <c r="D114" s="1">
        <v>2015.0</v>
      </c>
      <c r="E114" s="1" t="s">
        <v>321</v>
      </c>
      <c r="F114" s="1" t="s">
        <v>251</v>
      </c>
      <c r="G114" s="1">
        <v>4.0</v>
      </c>
      <c r="H114" s="1">
        <v>3.0</v>
      </c>
      <c r="I114" s="1">
        <v>1.0</v>
      </c>
      <c r="J114" s="1">
        <v>3.0</v>
      </c>
      <c r="K114" s="1">
        <v>2.0</v>
      </c>
      <c r="L114" s="1">
        <v>3.0</v>
      </c>
      <c r="M114" s="1">
        <v>2.0</v>
      </c>
      <c r="N114" s="1">
        <v>3.0</v>
      </c>
      <c r="O114" s="1">
        <v>2.0</v>
      </c>
      <c r="P114" s="1">
        <v>3.0</v>
      </c>
      <c r="Q114" s="1">
        <v>2.0</v>
      </c>
      <c r="R114" s="1">
        <v>3.0</v>
      </c>
      <c r="S114" s="1">
        <v>2.0</v>
      </c>
      <c r="T114" s="1">
        <v>3.0</v>
      </c>
      <c r="U114" s="1">
        <v>2.0</v>
      </c>
      <c r="V114" s="1">
        <v>3.0</v>
      </c>
      <c r="W114" s="1">
        <v>2.0</v>
      </c>
      <c r="X114" s="1">
        <v>3.0</v>
      </c>
      <c r="Y114" s="1">
        <v>2.0</v>
      </c>
      <c r="Z114" s="1">
        <v>2.0</v>
      </c>
      <c r="AA114" s="1">
        <v>3.0</v>
      </c>
      <c r="AB114" s="1">
        <v>2.0</v>
      </c>
      <c r="AC114" s="1">
        <v>2.0</v>
      </c>
      <c r="AD114" s="1">
        <v>3.0</v>
      </c>
      <c r="AE114" s="1">
        <v>2.0</v>
      </c>
      <c r="AF114" s="1">
        <v>2.0</v>
      </c>
      <c r="AG114" s="1">
        <v>2.0</v>
      </c>
      <c r="AH114" s="1">
        <v>3.0</v>
      </c>
      <c r="AI114" s="1">
        <v>2.0</v>
      </c>
      <c r="AJ114" s="1">
        <v>3.0</v>
      </c>
      <c r="AK114" s="1">
        <v>2.0</v>
      </c>
      <c r="AL114" s="1">
        <v>2.0</v>
      </c>
      <c r="AM114" s="1">
        <v>4.0</v>
      </c>
      <c r="AN114" s="1">
        <v>2.0</v>
      </c>
      <c r="AO114" s="1">
        <v>3.0</v>
      </c>
      <c r="AP114" s="1">
        <v>3.0</v>
      </c>
      <c r="AQ114" s="1">
        <v>3.0</v>
      </c>
      <c r="AR114" s="1">
        <v>2.0</v>
      </c>
      <c r="AS114" s="1">
        <v>3.0</v>
      </c>
      <c r="AT114" s="1">
        <v>2.0</v>
      </c>
      <c r="AU114" s="1">
        <v>1.0</v>
      </c>
      <c r="AV114" s="1">
        <v>2.0</v>
      </c>
      <c r="AW114" s="1">
        <v>3.0</v>
      </c>
      <c r="AX114" s="1">
        <v>3.0</v>
      </c>
      <c r="AY114" s="1">
        <v>2.0</v>
      </c>
      <c r="AZ114" s="1">
        <v>3.0</v>
      </c>
      <c r="BA114" s="1">
        <v>4.0</v>
      </c>
      <c r="BB114" s="1">
        <v>2.0</v>
      </c>
      <c r="BC114" s="1">
        <v>3.0</v>
      </c>
      <c r="BD114" s="1">
        <v>2.0</v>
      </c>
      <c r="BE114" s="1">
        <v>3.0</v>
      </c>
      <c r="BF114" s="1">
        <v>3.0</v>
      </c>
      <c r="BG114" s="1">
        <v>3.0</v>
      </c>
      <c r="BH114" s="1">
        <v>2.0</v>
      </c>
      <c r="BI114" s="1">
        <v>2.0</v>
      </c>
      <c r="BJ114" s="1">
        <v>2.0</v>
      </c>
      <c r="BK114" s="1">
        <v>2.0</v>
      </c>
      <c r="BL114" s="1">
        <v>2.0</v>
      </c>
      <c r="BM114" s="1">
        <v>2.0</v>
      </c>
      <c r="BN114" s="1">
        <v>3.0</v>
      </c>
      <c r="BO114" s="1">
        <v>2.0</v>
      </c>
      <c r="BP114" s="1">
        <v>3.0</v>
      </c>
      <c r="BQ114" s="1">
        <v>2.0</v>
      </c>
      <c r="BR114" s="1">
        <v>3.0</v>
      </c>
      <c r="BS114" s="1">
        <v>2.0</v>
      </c>
      <c r="BT114" s="1">
        <v>3.0</v>
      </c>
      <c r="BU114" s="1">
        <v>3.0</v>
      </c>
      <c r="BV114" s="1">
        <v>2.0</v>
      </c>
      <c r="BW114" s="1">
        <v>3.0</v>
      </c>
      <c r="BX114" s="1">
        <v>3.0</v>
      </c>
      <c r="BY114" s="1">
        <v>3.0</v>
      </c>
      <c r="BZ114" s="1">
        <v>3.0</v>
      </c>
    </row>
    <row r="115">
      <c r="A115" s="19">
        <v>46254.550876458336</v>
      </c>
      <c r="B115" s="1" t="s">
        <v>162</v>
      </c>
      <c r="C115" s="1" t="s">
        <v>244</v>
      </c>
      <c r="D115" s="1">
        <v>2025.0</v>
      </c>
      <c r="E115" s="1" t="s">
        <v>245</v>
      </c>
      <c r="F115" s="1" t="s">
        <v>246</v>
      </c>
      <c r="G115" s="1">
        <v>4.0</v>
      </c>
      <c r="H115" s="1">
        <v>4.0</v>
      </c>
      <c r="I115" s="1">
        <v>4.0</v>
      </c>
      <c r="J115" s="1">
        <v>4.0</v>
      </c>
      <c r="K115" s="1">
        <v>4.0</v>
      </c>
      <c r="L115" s="1">
        <v>4.0</v>
      </c>
      <c r="M115" s="1">
        <v>4.0</v>
      </c>
      <c r="N115" s="1">
        <v>4.0</v>
      </c>
      <c r="O115" s="1">
        <v>4.0</v>
      </c>
      <c r="P115" s="1">
        <v>4.0</v>
      </c>
      <c r="Q115" s="1">
        <v>4.0</v>
      </c>
      <c r="R115" s="1">
        <v>4.0</v>
      </c>
      <c r="S115" s="1">
        <v>4.0</v>
      </c>
      <c r="T115" s="1">
        <v>4.0</v>
      </c>
      <c r="U115" s="1">
        <v>4.0</v>
      </c>
      <c r="V115" s="1">
        <v>4.0</v>
      </c>
      <c r="W115" s="1">
        <v>4.0</v>
      </c>
      <c r="X115" s="1">
        <v>4.0</v>
      </c>
      <c r="Y115" s="1">
        <v>4.0</v>
      </c>
      <c r="Z115" s="1">
        <v>4.0</v>
      </c>
      <c r="AA115" s="1">
        <v>4.0</v>
      </c>
      <c r="AB115" s="1">
        <v>4.0</v>
      </c>
      <c r="AC115" s="1">
        <v>4.0</v>
      </c>
      <c r="AD115" s="1">
        <v>4.0</v>
      </c>
      <c r="AE115" s="1">
        <v>4.0</v>
      </c>
      <c r="AF115" s="1">
        <v>4.0</v>
      </c>
      <c r="AG115" s="1">
        <v>4.0</v>
      </c>
      <c r="AH115" s="1">
        <v>4.0</v>
      </c>
      <c r="AI115" s="1">
        <v>4.0</v>
      </c>
      <c r="AJ115" s="1">
        <v>4.0</v>
      </c>
      <c r="AK115" s="1">
        <v>4.0</v>
      </c>
      <c r="AL115" s="1">
        <v>4.0</v>
      </c>
      <c r="AM115" s="1">
        <v>4.0</v>
      </c>
      <c r="AN115" s="1">
        <v>4.0</v>
      </c>
      <c r="AO115" s="1">
        <v>4.0</v>
      </c>
      <c r="AP115" s="1">
        <v>4.0</v>
      </c>
      <c r="AQ115" s="1">
        <v>4.0</v>
      </c>
      <c r="AR115" s="1">
        <v>4.0</v>
      </c>
      <c r="AS115" s="1">
        <v>4.0</v>
      </c>
      <c r="AT115" s="1">
        <v>4.0</v>
      </c>
      <c r="AU115" s="1">
        <v>4.0</v>
      </c>
      <c r="AV115" s="1">
        <v>4.0</v>
      </c>
      <c r="AW115" s="1">
        <v>4.0</v>
      </c>
      <c r="AX115" s="1">
        <v>4.0</v>
      </c>
      <c r="AY115" s="1">
        <v>4.0</v>
      </c>
      <c r="AZ115" s="1">
        <v>4.0</v>
      </c>
      <c r="BA115" s="1">
        <v>4.0</v>
      </c>
      <c r="BB115" s="1">
        <v>4.0</v>
      </c>
      <c r="BC115" s="1">
        <v>4.0</v>
      </c>
      <c r="BD115" s="1">
        <v>4.0</v>
      </c>
      <c r="BE115" s="1">
        <v>4.0</v>
      </c>
      <c r="BF115" s="1">
        <v>4.0</v>
      </c>
      <c r="BG115" s="1">
        <v>4.0</v>
      </c>
      <c r="BH115" s="1">
        <v>4.0</v>
      </c>
      <c r="BI115" s="1">
        <v>4.0</v>
      </c>
      <c r="BJ115" s="1">
        <v>4.0</v>
      </c>
      <c r="BK115" s="1">
        <v>4.0</v>
      </c>
      <c r="BL115" s="1">
        <v>4.0</v>
      </c>
      <c r="BM115" s="1">
        <v>4.0</v>
      </c>
      <c r="BN115" s="1">
        <v>4.0</v>
      </c>
      <c r="BO115" s="1">
        <v>4.0</v>
      </c>
      <c r="BP115" s="1">
        <v>4.0</v>
      </c>
      <c r="BQ115" s="1">
        <v>4.0</v>
      </c>
      <c r="BR115" s="1">
        <v>4.0</v>
      </c>
      <c r="BS115" s="1">
        <v>4.0</v>
      </c>
      <c r="BT115" s="1">
        <v>4.0</v>
      </c>
      <c r="BU115" s="1">
        <v>4.0</v>
      </c>
      <c r="BV115" s="1">
        <v>4.0</v>
      </c>
      <c r="BW115" s="1">
        <v>4.0</v>
      </c>
      <c r="BX115" s="1">
        <v>4.0</v>
      </c>
      <c r="BY115" s="1">
        <v>4.0</v>
      </c>
      <c r="BZ115" s="1">
        <v>4.0</v>
      </c>
    </row>
    <row r="116">
      <c r="A116" s="19">
        <v>46254.55714626158</v>
      </c>
      <c r="B116" s="1" t="s">
        <v>162</v>
      </c>
      <c r="C116" s="1" t="s">
        <v>672</v>
      </c>
      <c r="D116" s="1">
        <v>2009.0</v>
      </c>
      <c r="E116" s="1" t="s">
        <v>213</v>
      </c>
      <c r="F116" s="1" t="s">
        <v>673</v>
      </c>
      <c r="G116" s="1">
        <v>3.0</v>
      </c>
      <c r="H116" s="1">
        <v>3.0</v>
      </c>
      <c r="I116" s="1">
        <v>3.0</v>
      </c>
      <c r="J116" s="1">
        <v>4.0</v>
      </c>
      <c r="K116" s="1">
        <v>4.0</v>
      </c>
      <c r="L116" s="1">
        <v>5.0</v>
      </c>
      <c r="M116" s="1">
        <v>3.0</v>
      </c>
      <c r="N116" s="1">
        <v>5.0</v>
      </c>
      <c r="O116" s="1">
        <v>5.0</v>
      </c>
      <c r="P116" s="1">
        <v>5.0</v>
      </c>
      <c r="Q116" s="1">
        <v>5.0</v>
      </c>
      <c r="R116" s="1">
        <v>5.0</v>
      </c>
      <c r="S116" s="1">
        <v>3.0</v>
      </c>
      <c r="T116" s="1">
        <v>5.0</v>
      </c>
      <c r="U116" s="1">
        <v>4.0</v>
      </c>
      <c r="V116" s="1">
        <v>5.0</v>
      </c>
      <c r="W116" s="1">
        <v>5.0</v>
      </c>
      <c r="X116" s="1">
        <v>5.0</v>
      </c>
      <c r="Y116" s="1">
        <v>4.0</v>
      </c>
      <c r="Z116" s="1">
        <v>5.0</v>
      </c>
      <c r="AA116" s="1">
        <v>5.0</v>
      </c>
      <c r="AB116" s="1">
        <v>5.0</v>
      </c>
      <c r="AC116" s="1">
        <v>5.0</v>
      </c>
      <c r="AD116" s="1">
        <v>5.0</v>
      </c>
      <c r="AE116" s="1">
        <v>5.0</v>
      </c>
      <c r="AF116" s="1">
        <v>5.0</v>
      </c>
      <c r="AG116" s="1">
        <v>5.0</v>
      </c>
      <c r="AH116" s="1">
        <v>5.0</v>
      </c>
      <c r="AI116" s="1">
        <v>5.0</v>
      </c>
      <c r="AJ116" s="1">
        <v>5.0</v>
      </c>
      <c r="AK116" s="1">
        <v>4.0</v>
      </c>
      <c r="AL116" s="1">
        <v>5.0</v>
      </c>
      <c r="AM116" s="1">
        <v>4.0</v>
      </c>
      <c r="AN116" s="1">
        <v>5.0</v>
      </c>
      <c r="AO116" s="1">
        <v>5.0</v>
      </c>
      <c r="AP116" s="1">
        <v>5.0</v>
      </c>
      <c r="AQ116" s="1">
        <v>5.0</v>
      </c>
      <c r="AR116" s="1">
        <v>5.0</v>
      </c>
      <c r="AS116" s="1">
        <v>5.0</v>
      </c>
      <c r="AT116" s="1">
        <v>5.0</v>
      </c>
      <c r="AU116" s="1">
        <v>5.0</v>
      </c>
      <c r="AV116" s="1">
        <v>5.0</v>
      </c>
      <c r="AW116" s="1">
        <v>5.0</v>
      </c>
      <c r="AX116" s="1">
        <v>5.0</v>
      </c>
      <c r="AY116" s="1">
        <v>5.0</v>
      </c>
      <c r="AZ116" s="1">
        <v>5.0</v>
      </c>
      <c r="BA116" s="1">
        <v>5.0</v>
      </c>
      <c r="BB116" s="1">
        <v>5.0</v>
      </c>
      <c r="BC116" s="1">
        <v>5.0</v>
      </c>
      <c r="BD116" s="1">
        <v>5.0</v>
      </c>
      <c r="BE116" s="1">
        <v>4.0</v>
      </c>
      <c r="BF116" s="1">
        <v>5.0</v>
      </c>
      <c r="BG116" s="1">
        <v>5.0</v>
      </c>
      <c r="BH116" s="1">
        <v>5.0</v>
      </c>
      <c r="BI116" s="1">
        <v>5.0</v>
      </c>
      <c r="BJ116" s="1">
        <v>5.0</v>
      </c>
      <c r="BK116" s="1">
        <v>5.0</v>
      </c>
      <c r="BL116" s="1">
        <v>5.0</v>
      </c>
      <c r="BM116" s="1">
        <v>5.0</v>
      </c>
      <c r="BN116" s="1">
        <v>5.0</v>
      </c>
      <c r="BO116" s="1">
        <v>5.0</v>
      </c>
      <c r="BP116" s="1">
        <v>5.0</v>
      </c>
      <c r="BQ116" s="1">
        <v>5.0</v>
      </c>
      <c r="BR116" s="1">
        <v>5.0</v>
      </c>
      <c r="BS116" s="1">
        <v>5.0</v>
      </c>
      <c r="BT116" s="1">
        <v>5.0</v>
      </c>
      <c r="BU116" s="1">
        <v>5.0</v>
      </c>
      <c r="BV116" s="1">
        <v>5.0</v>
      </c>
      <c r="BW116" s="1">
        <v>5.0</v>
      </c>
      <c r="BX116" s="1">
        <v>5.0</v>
      </c>
      <c r="BY116" s="1">
        <v>5.0</v>
      </c>
      <c r="BZ116" s="1">
        <v>5.0</v>
      </c>
    </row>
    <row r="117">
      <c r="A117" s="19">
        <v>46259.38508472222</v>
      </c>
      <c r="B117" s="1" t="s">
        <v>162</v>
      </c>
      <c r="C117" s="1" t="s">
        <v>677</v>
      </c>
      <c r="D117" s="1">
        <v>2004.0</v>
      </c>
      <c r="E117" s="1" t="s">
        <v>213</v>
      </c>
      <c r="F117" s="1" t="s">
        <v>678</v>
      </c>
      <c r="G117" s="1">
        <v>2.0</v>
      </c>
      <c r="H117" s="1">
        <v>2.0</v>
      </c>
      <c r="I117" s="1">
        <v>2.0</v>
      </c>
      <c r="J117" s="1">
        <v>4.0</v>
      </c>
      <c r="K117" s="1">
        <v>3.0</v>
      </c>
      <c r="L117" s="1">
        <v>4.0</v>
      </c>
      <c r="M117" s="1">
        <v>4.0</v>
      </c>
      <c r="N117" s="1">
        <v>3.0</v>
      </c>
      <c r="O117" s="1">
        <v>2.0</v>
      </c>
      <c r="P117" s="1">
        <v>3.0</v>
      </c>
      <c r="Q117" s="1">
        <v>3.0</v>
      </c>
      <c r="R117" s="1">
        <v>4.0</v>
      </c>
      <c r="S117" s="1">
        <v>3.0</v>
      </c>
      <c r="T117" s="1">
        <v>3.0</v>
      </c>
      <c r="U117" s="1">
        <v>2.0</v>
      </c>
      <c r="V117" s="1">
        <v>4.0</v>
      </c>
      <c r="W117" s="1">
        <v>3.0</v>
      </c>
      <c r="X117" s="1">
        <v>4.0</v>
      </c>
      <c r="Y117" s="1">
        <v>4.0</v>
      </c>
      <c r="Z117" s="1">
        <v>4.0</v>
      </c>
      <c r="AA117" s="1">
        <v>2.0</v>
      </c>
      <c r="AB117" s="1">
        <v>4.0</v>
      </c>
      <c r="AC117" s="1">
        <v>4.0</v>
      </c>
      <c r="AD117" s="1">
        <v>4.0</v>
      </c>
      <c r="AE117" s="1">
        <v>4.0</v>
      </c>
      <c r="AF117" s="1">
        <v>3.0</v>
      </c>
      <c r="AG117" s="1">
        <v>2.0</v>
      </c>
      <c r="AH117" s="1">
        <v>4.0</v>
      </c>
      <c r="AI117" s="1">
        <v>4.0</v>
      </c>
      <c r="AJ117" s="1">
        <v>4.0</v>
      </c>
      <c r="AK117" s="1">
        <v>4.0</v>
      </c>
      <c r="AL117" s="1">
        <v>3.0</v>
      </c>
      <c r="AM117" s="1">
        <v>2.0</v>
      </c>
      <c r="AN117" s="1">
        <v>4.0</v>
      </c>
      <c r="AO117" s="1">
        <v>3.0</v>
      </c>
      <c r="AP117" s="1">
        <v>4.0</v>
      </c>
      <c r="AQ117" s="1">
        <v>3.0</v>
      </c>
      <c r="AR117" s="1">
        <v>3.0</v>
      </c>
      <c r="AS117" s="1">
        <v>4.0</v>
      </c>
      <c r="AT117" s="1">
        <v>4.0</v>
      </c>
      <c r="AU117" s="1">
        <v>4.0</v>
      </c>
      <c r="AV117" s="1">
        <v>3.0</v>
      </c>
      <c r="AW117" s="1">
        <v>2.0</v>
      </c>
      <c r="AX117" s="1">
        <v>3.0</v>
      </c>
      <c r="AY117" s="1">
        <v>3.0</v>
      </c>
      <c r="AZ117" s="1">
        <v>3.0</v>
      </c>
      <c r="BA117" s="1">
        <v>4.0</v>
      </c>
      <c r="BB117" s="1">
        <v>3.0</v>
      </c>
      <c r="BC117" s="1">
        <v>3.0</v>
      </c>
      <c r="BD117" s="1">
        <v>3.0</v>
      </c>
      <c r="BE117" s="1">
        <v>2.0</v>
      </c>
      <c r="BF117" s="1">
        <v>4.0</v>
      </c>
      <c r="BG117" s="1">
        <v>4.0</v>
      </c>
      <c r="BH117" s="1">
        <v>4.0</v>
      </c>
      <c r="BI117" s="1">
        <v>4.0</v>
      </c>
      <c r="BJ117" s="1">
        <v>3.0</v>
      </c>
      <c r="BK117" s="1">
        <v>3.0</v>
      </c>
      <c r="BL117" s="1">
        <v>4.0</v>
      </c>
      <c r="BM117" s="1">
        <v>4.0</v>
      </c>
      <c r="BN117" s="1">
        <v>4.0</v>
      </c>
      <c r="BO117" s="1">
        <v>4.0</v>
      </c>
      <c r="BP117" s="1">
        <v>3.0</v>
      </c>
      <c r="BQ117" s="1">
        <v>3.0</v>
      </c>
      <c r="BR117" s="1">
        <v>4.0</v>
      </c>
      <c r="BS117" s="1">
        <v>4.0</v>
      </c>
      <c r="BT117" s="1">
        <v>4.0</v>
      </c>
      <c r="BU117" s="1">
        <v>4.0</v>
      </c>
      <c r="BV117" s="1">
        <v>4.0</v>
      </c>
      <c r="BW117" s="1">
        <v>4.0</v>
      </c>
      <c r="BX117" s="1">
        <v>4.0</v>
      </c>
      <c r="BY117" s="1">
        <v>4.0</v>
      </c>
      <c r="BZ117" s="1">
        <v>4.0</v>
      </c>
    </row>
    <row r="118">
      <c r="A118" s="19">
        <v>46259.54772940972</v>
      </c>
      <c r="B118" s="1" t="s">
        <v>162</v>
      </c>
      <c r="C118" s="1" t="s">
        <v>682</v>
      </c>
      <c r="D118" s="1">
        <v>2018.0</v>
      </c>
      <c r="E118" s="1" t="s">
        <v>379</v>
      </c>
      <c r="F118" s="1" t="s">
        <v>683</v>
      </c>
      <c r="G118" s="1">
        <v>5.0</v>
      </c>
      <c r="H118" s="1">
        <v>4.0</v>
      </c>
      <c r="I118" s="1">
        <v>2.0</v>
      </c>
      <c r="J118" s="1">
        <v>2.0</v>
      </c>
      <c r="K118" s="1">
        <v>3.0</v>
      </c>
      <c r="L118" s="1">
        <v>3.0</v>
      </c>
      <c r="M118" s="1">
        <v>3.0</v>
      </c>
      <c r="N118" s="1">
        <v>3.0</v>
      </c>
      <c r="O118" s="1">
        <v>3.0</v>
      </c>
      <c r="P118" s="1">
        <v>3.0</v>
      </c>
      <c r="Q118" s="1">
        <v>3.0</v>
      </c>
      <c r="R118" s="1">
        <v>3.0</v>
      </c>
      <c r="S118" s="1">
        <v>3.0</v>
      </c>
      <c r="T118" s="1">
        <v>3.0</v>
      </c>
      <c r="U118" s="1">
        <v>3.0</v>
      </c>
      <c r="V118" s="1">
        <v>3.0</v>
      </c>
      <c r="W118" s="1">
        <v>3.0</v>
      </c>
      <c r="X118" s="1">
        <v>3.0</v>
      </c>
      <c r="Y118" s="1">
        <v>3.0</v>
      </c>
      <c r="Z118" s="1">
        <v>3.0</v>
      </c>
      <c r="AA118" s="1">
        <v>3.0</v>
      </c>
      <c r="AB118" s="1">
        <v>3.0</v>
      </c>
      <c r="AC118" s="1">
        <v>3.0</v>
      </c>
      <c r="AD118" s="1">
        <v>3.0</v>
      </c>
      <c r="AE118" s="1">
        <v>4.0</v>
      </c>
      <c r="AF118" s="1">
        <v>4.0</v>
      </c>
      <c r="AG118" s="1">
        <v>3.0</v>
      </c>
      <c r="AH118" s="1">
        <v>3.0</v>
      </c>
      <c r="AI118" s="1">
        <v>4.0</v>
      </c>
      <c r="AJ118" s="1">
        <v>3.0</v>
      </c>
      <c r="AK118" s="1">
        <v>3.0</v>
      </c>
      <c r="AL118" s="1">
        <v>4.0</v>
      </c>
      <c r="AM118" s="1">
        <v>3.0</v>
      </c>
      <c r="AN118" s="1">
        <v>4.0</v>
      </c>
      <c r="AO118" s="1">
        <v>4.0</v>
      </c>
      <c r="AP118" s="1">
        <v>4.0</v>
      </c>
      <c r="AQ118" s="1">
        <v>4.0</v>
      </c>
      <c r="AR118" s="1">
        <v>4.0</v>
      </c>
      <c r="AS118" s="1">
        <v>4.0</v>
      </c>
      <c r="AT118" s="1">
        <v>4.0</v>
      </c>
      <c r="AU118" s="1">
        <v>3.0</v>
      </c>
      <c r="AV118" s="1">
        <v>3.0</v>
      </c>
      <c r="AW118" s="1">
        <v>4.0</v>
      </c>
      <c r="AX118" s="1">
        <v>4.0</v>
      </c>
      <c r="AY118" s="1">
        <v>4.0</v>
      </c>
      <c r="AZ118" s="1">
        <v>3.0</v>
      </c>
      <c r="BA118" s="1">
        <v>4.0</v>
      </c>
      <c r="BB118" s="1">
        <v>4.0</v>
      </c>
      <c r="BC118" s="1">
        <v>4.0</v>
      </c>
      <c r="BD118" s="1">
        <v>4.0</v>
      </c>
      <c r="BE118" s="1">
        <v>3.0</v>
      </c>
      <c r="BF118" s="1">
        <v>4.0</v>
      </c>
      <c r="BG118" s="1">
        <v>3.0</v>
      </c>
      <c r="BH118" s="1">
        <v>4.0</v>
      </c>
      <c r="BI118" s="1">
        <v>4.0</v>
      </c>
      <c r="BJ118" s="1">
        <v>4.0</v>
      </c>
      <c r="BK118" s="1">
        <v>4.0</v>
      </c>
      <c r="BL118" s="1">
        <v>4.0</v>
      </c>
      <c r="BM118" s="1">
        <v>4.0</v>
      </c>
      <c r="BN118" s="1">
        <v>4.0</v>
      </c>
      <c r="BO118" s="1">
        <v>4.0</v>
      </c>
      <c r="BP118" s="1">
        <v>4.0</v>
      </c>
      <c r="BQ118" s="1">
        <v>4.0</v>
      </c>
      <c r="BR118" s="1">
        <v>4.0</v>
      </c>
      <c r="BS118" s="1">
        <v>4.0</v>
      </c>
      <c r="BT118" s="1">
        <v>4.0</v>
      </c>
      <c r="BU118" s="1">
        <v>4.0</v>
      </c>
      <c r="BV118" s="1">
        <v>4.0</v>
      </c>
      <c r="BW118" s="1">
        <v>4.0</v>
      </c>
      <c r="BX118" s="1">
        <v>4.0</v>
      </c>
      <c r="BY118" s="1">
        <v>4.0</v>
      </c>
      <c r="BZ118" s="1">
        <v>4.0</v>
      </c>
    </row>
    <row r="119">
      <c r="A119" s="19">
        <v>46259.59639099537</v>
      </c>
      <c r="B119" s="1" t="s">
        <v>162</v>
      </c>
      <c r="C119" s="1" t="s">
        <v>207</v>
      </c>
      <c r="D119" s="1">
        <v>2006.0</v>
      </c>
      <c r="E119" s="1" t="s">
        <v>225</v>
      </c>
      <c r="F119" s="1" t="s">
        <v>226</v>
      </c>
      <c r="G119" s="1">
        <v>1.0</v>
      </c>
      <c r="H119" s="1">
        <v>1.0</v>
      </c>
      <c r="I119" s="1">
        <v>1.0</v>
      </c>
      <c r="J119" s="1">
        <v>1.0</v>
      </c>
      <c r="K119" s="1">
        <v>1.0</v>
      </c>
      <c r="L119" s="1">
        <v>1.0</v>
      </c>
      <c r="M119" s="1">
        <v>1.0</v>
      </c>
      <c r="N119" s="1">
        <v>1.0</v>
      </c>
      <c r="O119" s="1">
        <v>1.0</v>
      </c>
      <c r="P119" s="1">
        <v>1.0</v>
      </c>
      <c r="Q119" s="1">
        <v>1.0</v>
      </c>
      <c r="R119" s="1">
        <v>1.0</v>
      </c>
      <c r="S119" s="1">
        <v>1.0</v>
      </c>
      <c r="T119" s="1">
        <v>1.0</v>
      </c>
      <c r="U119" s="1">
        <v>1.0</v>
      </c>
      <c r="V119" s="1">
        <v>1.0</v>
      </c>
      <c r="W119" s="1">
        <v>1.0</v>
      </c>
      <c r="X119" s="1">
        <v>1.0</v>
      </c>
      <c r="Y119" s="1">
        <v>1.0</v>
      </c>
      <c r="Z119" s="1">
        <v>1.0</v>
      </c>
      <c r="AA119" s="1">
        <v>1.0</v>
      </c>
      <c r="AB119" s="1">
        <v>1.0</v>
      </c>
      <c r="AC119" s="1">
        <v>1.0</v>
      </c>
      <c r="AD119" s="1">
        <v>1.0</v>
      </c>
      <c r="AE119" s="1">
        <v>1.0</v>
      </c>
      <c r="AF119" s="1">
        <v>1.0</v>
      </c>
      <c r="AG119" s="1">
        <v>1.0</v>
      </c>
      <c r="AH119" s="1">
        <v>1.0</v>
      </c>
      <c r="AI119" s="1">
        <v>1.0</v>
      </c>
      <c r="AJ119" s="1">
        <v>1.0</v>
      </c>
      <c r="AK119" s="1">
        <v>1.0</v>
      </c>
      <c r="AL119" s="1">
        <v>1.0</v>
      </c>
      <c r="AM119" s="1">
        <v>1.0</v>
      </c>
      <c r="AN119" s="1">
        <v>1.0</v>
      </c>
      <c r="AO119" s="1">
        <v>1.0</v>
      </c>
      <c r="AP119" s="1">
        <v>1.0</v>
      </c>
      <c r="AQ119" s="1">
        <v>1.0</v>
      </c>
      <c r="AR119" s="1">
        <v>1.0</v>
      </c>
      <c r="AS119" s="1">
        <v>1.0</v>
      </c>
      <c r="AT119" s="1">
        <v>1.0</v>
      </c>
      <c r="AU119" s="1">
        <v>1.0</v>
      </c>
      <c r="AV119" s="1">
        <v>1.0</v>
      </c>
      <c r="AW119" s="1">
        <v>1.0</v>
      </c>
      <c r="AX119" s="1">
        <v>1.0</v>
      </c>
      <c r="AY119" s="1">
        <v>1.0</v>
      </c>
      <c r="AZ119" s="1">
        <v>1.0</v>
      </c>
      <c r="BA119" s="1">
        <v>1.0</v>
      </c>
      <c r="BB119" s="1">
        <v>1.0</v>
      </c>
      <c r="BC119" s="1">
        <v>1.0</v>
      </c>
      <c r="BD119" s="1">
        <v>1.0</v>
      </c>
      <c r="BE119" s="1">
        <v>1.0</v>
      </c>
      <c r="BF119" s="1">
        <v>1.0</v>
      </c>
      <c r="BG119" s="1">
        <v>1.0</v>
      </c>
      <c r="BH119" s="1">
        <v>1.0</v>
      </c>
      <c r="BI119" s="1">
        <v>1.0</v>
      </c>
      <c r="BJ119" s="1">
        <v>1.0</v>
      </c>
      <c r="BK119" s="1">
        <v>1.0</v>
      </c>
      <c r="BL119" s="1">
        <v>1.0</v>
      </c>
      <c r="BM119" s="1">
        <v>1.0</v>
      </c>
      <c r="BN119" s="1">
        <v>1.0</v>
      </c>
      <c r="BO119" s="1">
        <v>1.0</v>
      </c>
      <c r="BP119" s="1">
        <v>1.0</v>
      </c>
      <c r="BQ119" s="1">
        <v>1.0</v>
      </c>
      <c r="BR119" s="1">
        <v>1.0</v>
      </c>
      <c r="BS119" s="1">
        <v>1.0</v>
      </c>
      <c r="BT119" s="1">
        <v>1.0</v>
      </c>
      <c r="BU119" s="1">
        <v>1.0</v>
      </c>
      <c r="BV119" s="1">
        <v>1.0</v>
      </c>
      <c r="BW119" s="1">
        <v>1.0</v>
      </c>
      <c r="BX119" s="1">
        <v>1.0</v>
      </c>
      <c r="BY119" s="1">
        <v>1.0</v>
      </c>
      <c r="BZ119" s="1">
        <v>1.0</v>
      </c>
    </row>
    <row r="120">
      <c r="A120" s="19">
        <v>46259.6244325463</v>
      </c>
      <c r="B120" s="1" t="s">
        <v>162</v>
      </c>
      <c r="C120" s="1" t="s">
        <v>224</v>
      </c>
      <c r="D120" s="1">
        <v>2006.0</v>
      </c>
      <c r="E120" s="1" t="s">
        <v>225</v>
      </c>
      <c r="F120" s="1" t="s">
        <v>226</v>
      </c>
      <c r="G120" s="1">
        <v>1.0</v>
      </c>
      <c r="H120" s="1">
        <v>1.0</v>
      </c>
      <c r="I120" s="1">
        <v>1.0</v>
      </c>
      <c r="J120" s="1">
        <v>1.0</v>
      </c>
      <c r="K120" s="1">
        <v>1.0</v>
      </c>
      <c r="L120" s="1">
        <v>1.0</v>
      </c>
      <c r="M120" s="1">
        <v>1.0</v>
      </c>
      <c r="N120" s="1">
        <v>1.0</v>
      </c>
      <c r="O120" s="1">
        <v>1.0</v>
      </c>
      <c r="P120" s="1">
        <v>1.0</v>
      </c>
      <c r="Q120" s="1">
        <v>1.0</v>
      </c>
      <c r="R120" s="1">
        <v>1.0</v>
      </c>
      <c r="S120" s="1">
        <v>1.0</v>
      </c>
      <c r="T120" s="1">
        <v>1.0</v>
      </c>
      <c r="U120" s="1">
        <v>1.0</v>
      </c>
      <c r="V120" s="1">
        <v>1.0</v>
      </c>
      <c r="W120" s="1">
        <v>1.0</v>
      </c>
      <c r="X120" s="1">
        <v>1.0</v>
      </c>
      <c r="Y120" s="1">
        <v>1.0</v>
      </c>
      <c r="Z120" s="1">
        <v>1.0</v>
      </c>
      <c r="AA120" s="1">
        <v>1.0</v>
      </c>
      <c r="AB120" s="1">
        <v>1.0</v>
      </c>
      <c r="AC120" s="1">
        <v>1.0</v>
      </c>
      <c r="AD120" s="1">
        <v>1.0</v>
      </c>
      <c r="AE120" s="1">
        <v>1.0</v>
      </c>
      <c r="AF120" s="1">
        <v>1.0</v>
      </c>
      <c r="AG120" s="1">
        <v>1.0</v>
      </c>
      <c r="AH120" s="1">
        <v>1.0</v>
      </c>
      <c r="AI120" s="1">
        <v>1.0</v>
      </c>
      <c r="AJ120" s="1">
        <v>1.0</v>
      </c>
      <c r="AK120" s="1">
        <v>1.0</v>
      </c>
      <c r="AL120" s="1">
        <v>1.0</v>
      </c>
      <c r="AM120" s="1">
        <v>1.0</v>
      </c>
      <c r="AN120" s="1">
        <v>1.0</v>
      </c>
      <c r="AO120" s="1">
        <v>1.0</v>
      </c>
      <c r="AP120" s="1">
        <v>1.0</v>
      </c>
      <c r="AQ120" s="1">
        <v>1.0</v>
      </c>
      <c r="AR120" s="1">
        <v>1.0</v>
      </c>
      <c r="AS120" s="1">
        <v>1.0</v>
      </c>
      <c r="AT120" s="1">
        <v>1.0</v>
      </c>
      <c r="AU120" s="1">
        <v>1.0</v>
      </c>
      <c r="AV120" s="1">
        <v>1.0</v>
      </c>
      <c r="AW120" s="1">
        <v>1.0</v>
      </c>
      <c r="AX120" s="1">
        <v>1.0</v>
      </c>
      <c r="AY120" s="1">
        <v>1.0</v>
      </c>
      <c r="AZ120" s="1">
        <v>1.0</v>
      </c>
      <c r="BA120" s="1">
        <v>1.0</v>
      </c>
      <c r="BB120" s="1">
        <v>1.0</v>
      </c>
      <c r="BC120" s="1">
        <v>1.0</v>
      </c>
      <c r="BD120" s="1">
        <v>1.0</v>
      </c>
      <c r="BE120" s="1">
        <v>1.0</v>
      </c>
      <c r="BF120" s="1">
        <v>1.0</v>
      </c>
      <c r="BG120" s="1">
        <v>1.0</v>
      </c>
      <c r="BH120" s="1">
        <v>1.0</v>
      </c>
      <c r="BI120" s="1">
        <v>1.0</v>
      </c>
      <c r="BJ120" s="1">
        <v>1.0</v>
      </c>
      <c r="BK120" s="1">
        <v>1.0</v>
      </c>
      <c r="BL120" s="1">
        <v>1.0</v>
      </c>
      <c r="BM120" s="1">
        <v>1.0</v>
      </c>
      <c r="BN120" s="1">
        <v>1.0</v>
      </c>
      <c r="BO120" s="1">
        <v>1.0</v>
      </c>
      <c r="BP120" s="1">
        <v>1.0</v>
      </c>
      <c r="BQ120" s="1">
        <v>1.0</v>
      </c>
      <c r="BR120" s="1">
        <v>1.0</v>
      </c>
      <c r="BS120" s="1">
        <v>1.0</v>
      </c>
      <c r="BT120" s="1">
        <v>1.0</v>
      </c>
      <c r="BU120" s="1">
        <v>1.0</v>
      </c>
      <c r="BV120" s="1">
        <v>1.0</v>
      </c>
      <c r="BW120" s="1">
        <v>1.0</v>
      </c>
      <c r="BX120" s="1">
        <v>1.0</v>
      </c>
      <c r="BY120" s="1">
        <v>1.0</v>
      </c>
      <c r="BZ120" s="1">
        <v>1.0</v>
      </c>
    </row>
    <row r="121">
      <c r="A121" s="19">
        <v>46259.62908850695</v>
      </c>
      <c r="B121" s="1" t="s">
        <v>162</v>
      </c>
      <c r="C121" s="1" t="s">
        <v>692</v>
      </c>
      <c r="D121" s="1">
        <v>2006.0</v>
      </c>
      <c r="E121" s="1" t="s">
        <v>693</v>
      </c>
      <c r="F121" s="1" t="s">
        <v>226</v>
      </c>
      <c r="G121" s="1">
        <v>1.0</v>
      </c>
      <c r="H121" s="1">
        <v>1.0</v>
      </c>
      <c r="I121" s="1">
        <v>1.0</v>
      </c>
      <c r="J121" s="1">
        <v>1.0</v>
      </c>
      <c r="K121" s="1">
        <v>1.0</v>
      </c>
      <c r="L121" s="1">
        <v>1.0</v>
      </c>
      <c r="M121" s="1">
        <v>1.0</v>
      </c>
      <c r="N121" s="1">
        <v>1.0</v>
      </c>
      <c r="O121" s="1">
        <v>1.0</v>
      </c>
      <c r="P121" s="1">
        <v>1.0</v>
      </c>
      <c r="Q121" s="1">
        <v>1.0</v>
      </c>
      <c r="R121" s="1">
        <v>1.0</v>
      </c>
      <c r="S121" s="1">
        <v>1.0</v>
      </c>
      <c r="T121" s="1">
        <v>1.0</v>
      </c>
      <c r="U121" s="1">
        <v>1.0</v>
      </c>
      <c r="V121" s="1">
        <v>1.0</v>
      </c>
      <c r="W121" s="1">
        <v>1.0</v>
      </c>
      <c r="X121" s="1">
        <v>1.0</v>
      </c>
      <c r="Y121" s="1">
        <v>1.0</v>
      </c>
      <c r="Z121" s="1">
        <v>1.0</v>
      </c>
      <c r="AA121" s="1">
        <v>1.0</v>
      </c>
      <c r="AB121" s="1">
        <v>1.0</v>
      </c>
      <c r="AC121" s="1">
        <v>1.0</v>
      </c>
      <c r="AD121" s="1">
        <v>1.0</v>
      </c>
      <c r="AE121" s="1">
        <v>1.0</v>
      </c>
      <c r="AF121" s="1">
        <v>1.0</v>
      </c>
      <c r="AG121" s="1">
        <v>1.0</v>
      </c>
      <c r="AH121" s="1">
        <v>1.0</v>
      </c>
      <c r="AI121" s="1">
        <v>1.0</v>
      </c>
      <c r="AJ121" s="1">
        <v>1.0</v>
      </c>
      <c r="AK121" s="1">
        <v>1.0</v>
      </c>
      <c r="AL121" s="1">
        <v>1.0</v>
      </c>
      <c r="AM121" s="1">
        <v>1.0</v>
      </c>
      <c r="AN121" s="1">
        <v>1.0</v>
      </c>
      <c r="AO121" s="1">
        <v>1.0</v>
      </c>
      <c r="AP121" s="1">
        <v>1.0</v>
      </c>
      <c r="AQ121" s="1">
        <v>1.0</v>
      </c>
      <c r="AR121" s="1">
        <v>1.0</v>
      </c>
      <c r="AS121" s="1">
        <v>1.0</v>
      </c>
      <c r="AT121" s="1">
        <v>1.0</v>
      </c>
      <c r="AU121" s="1">
        <v>1.0</v>
      </c>
      <c r="AV121" s="1">
        <v>1.0</v>
      </c>
      <c r="AW121" s="1">
        <v>1.0</v>
      </c>
      <c r="AX121" s="1">
        <v>1.0</v>
      </c>
      <c r="AY121" s="1">
        <v>1.0</v>
      </c>
      <c r="AZ121" s="1">
        <v>1.0</v>
      </c>
      <c r="BA121" s="1">
        <v>1.0</v>
      </c>
      <c r="BB121" s="1">
        <v>1.0</v>
      </c>
      <c r="BC121" s="1">
        <v>1.0</v>
      </c>
      <c r="BD121" s="1">
        <v>1.0</v>
      </c>
      <c r="BE121" s="1">
        <v>1.0</v>
      </c>
      <c r="BF121" s="1">
        <v>1.0</v>
      </c>
      <c r="BG121" s="1">
        <v>1.0</v>
      </c>
      <c r="BH121" s="1">
        <v>1.0</v>
      </c>
      <c r="BI121" s="1">
        <v>1.0</v>
      </c>
      <c r="BJ121" s="1">
        <v>1.0</v>
      </c>
      <c r="BK121" s="1">
        <v>1.0</v>
      </c>
      <c r="BL121" s="1">
        <v>1.0</v>
      </c>
      <c r="BM121" s="1">
        <v>1.0</v>
      </c>
      <c r="BN121" s="1">
        <v>1.0</v>
      </c>
      <c r="BO121" s="1">
        <v>1.0</v>
      </c>
      <c r="BP121" s="1">
        <v>1.0</v>
      </c>
      <c r="BQ121" s="1">
        <v>1.0</v>
      </c>
      <c r="BR121" s="1">
        <v>1.0</v>
      </c>
      <c r="BS121" s="1">
        <v>1.0</v>
      </c>
      <c r="BT121" s="1">
        <v>1.0</v>
      </c>
      <c r="BU121" s="1">
        <v>1.0</v>
      </c>
      <c r="BV121" s="1">
        <v>1.0</v>
      </c>
      <c r="BW121" s="1">
        <v>1.0</v>
      </c>
      <c r="BX121" s="1">
        <v>1.0</v>
      </c>
      <c r="BY121" s="1">
        <v>1.0</v>
      </c>
      <c r="BZ121" s="1">
        <v>1.0</v>
      </c>
    </row>
    <row r="122">
      <c r="A122" s="19">
        <v>46260.387694062505</v>
      </c>
      <c r="B122" s="1" t="s">
        <v>162</v>
      </c>
      <c r="C122" s="1" t="s">
        <v>163</v>
      </c>
      <c r="D122" s="1">
        <v>2020.0</v>
      </c>
      <c r="E122" s="1" t="s">
        <v>164</v>
      </c>
      <c r="F122" s="1" t="s">
        <v>165</v>
      </c>
      <c r="G122" s="1">
        <v>1.0</v>
      </c>
      <c r="H122" s="1">
        <v>4.0</v>
      </c>
      <c r="I122" s="1">
        <v>1.0</v>
      </c>
      <c r="J122" s="1">
        <v>1.0</v>
      </c>
      <c r="K122" s="1">
        <v>4.0</v>
      </c>
      <c r="L122" s="1">
        <v>4.0</v>
      </c>
      <c r="M122" s="1">
        <v>4.0</v>
      </c>
      <c r="N122" s="1">
        <v>1.0</v>
      </c>
      <c r="O122" s="1">
        <v>4.0</v>
      </c>
      <c r="P122" s="1">
        <v>4.0</v>
      </c>
      <c r="Q122" s="1">
        <v>4.0</v>
      </c>
      <c r="R122" s="1">
        <v>1.0</v>
      </c>
      <c r="S122" s="1">
        <v>4.0</v>
      </c>
      <c r="T122" s="1">
        <v>4.0</v>
      </c>
      <c r="U122" s="1">
        <v>4.0</v>
      </c>
      <c r="V122" s="1">
        <v>4.0</v>
      </c>
      <c r="W122" s="1">
        <v>1.0</v>
      </c>
      <c r="X122" s="1">
        <v>1.0</v>
      </c>
      <c r="Y122" s="1">
        <v>4.0</v>
      </c>
      <c r="Z122" s="1">
        <v>4.0</v>
      </c>
      <c r="AA122" s="1">
        <v>1.0</v>
      </c>
      <c r="AB122" s="1">
        <v>1.0</v>
      </c>
      <c r="AC122" s="1">
        <v>4.0</v>
      </c>
      <c r="AD122" s="1">
        <v>4.0</v>
      </c>
      <c r="AE122" s="1">
        <v>4.0</v>
      </c>
      <c r="AF122" s="1">
        <v>1.0</v>
      </c>
      <c r="AG122" s="1">
        <v>1.0</v>
      </c>
      <c r="AH122" s="1">
        <v>4.0</v>
      </c>
      <c r="AI122" s="1">
        <v>4.0</v>
      </c>
      <c r="AJ122" s="1">
        <v>4.0</v>
      </c>
      <c r="AK122" s="1">
        <v>1.0</v>
      </c>
      <c r="AL122" s="1">
        <v>4.0</v>
      </c>
      <c r="AM122" s="1">
        <v>4.0</v>
      </c>
      <c r="AN122" s="1">
        <v>4.0</v>
      </c>
      <c r="AO122" s="1">
        <v>1.0</v>
      </c>
      <c r="AP122" s="1">
        <v>1.0</v>
      </c>
      <c r="AQ122" s="1">
        <v>4.0</v>
      </c>
      <c r="AR122" s="1">
        <v>4.0</v>
      </c>
      <c r="AS122" s="1">
        <v>4.0</v>
      </c>
      <c r="AT122" s="1">
        <v>1.0</v>
      </c>
      <c r="AU122" s="1">
        <v>1.0</v>
      </c>
      <c r="AV122" s="1">
        <v>4.0</v>
      </c>
      <c r="AW122" s="1">
        <v>4.0</v>
      </c>
      <c r="AX122" s="1">
        <v>4.0</v>
      </c>
      <c r="AY122" s="1">
        <v>1.0</v>
      </c>
      <c r="AZ122" s="1">
        <v>1.0</v>
      </c>
      <c r="BA122" s="1">
        <v>4.0</v>
      </c>
      <c r="BB122" s="1">
        <v>4.0</v>
      </c>
      <c r="BC122" s="1">
        <v>1.0</v>
      </c>
      <c r="BD122" s="1">
        <v>1.0</v>
      </c>
      <c r="BE122" s="1">
        <v>4.0</v>
      </c>
      <c r="BF122" s="1">
        <v>4.0</v>
      </c>
      <c r="BG122" s="1">
        <v>1.0</v>
      </c>
      <c r="BH122" s="1">
        <v>1.0</v>
      </c>
      <c r="BI122" s="1">
        <v>4.0</v>
      </c>
      <c r="BJ122" s="1">
        <v>4.0</v>
      </c>
      <c r="BK122" s="1">
        <v>1.0</v>
      </c>
      <c r="BL122" s="1">
        <v>1.0</v>
      </c>
      <c r="BM122" s="1">
        <v>4.0</v>
      </c>
      <c r="BN122" s="1">
        <v>4.0</v>
      </c>
      <c r="BO122" s="1">
        <v>1.0</v>
      </c>
      <c r="BP122" s="1">
        <v>4.0</v>
      </c>
      <c r="BQ122" s="1">
        <v>4.0</v>
      </c>
      <c r="BR122" s="1">
        <v>1.0</v>
      </c>
      <c r="BS122" s="1">
        <v>4.0</v>
      </c>
      <c r="BT122" s="1">
        <v>4.0</v>
      </c>
      <c r="BU122" s="1">
        <v>1.0</v>
      </c>
      <c r="BV122" s="1">
        <v>4.0</v>
      </c>
      <c r="BW122" s="1">
        <v>4.0</v>
      </c>
      <c r="BX122" s="1">
        <v>4.0</v>
      </c>
      <c r="BY122" s="1">
        <v>1.0</v>
      </c>
      <c r="BZ122" s="1">
        <v>4.0</v>
      </c>
    </row>
    <row r="123">
      <c r="A123" s="19">
        <v>46260.55093518519</v>
      </c>
      <c r="B123" s="1" t="s">
        <v>162</v>
      </c>
      <c r="C123" s="1" t="s">
        <v>700</v>
      </c>
      <c r="D123" s="1">
        <v>2006.0</v>
      </c>
      <c r="E123" s="1" t="s">
        <v>701</v>
      </c>
      <c r="F123" s="1" t="s">
        <v>226</v>
      </c>
      <c r="G123" s="1">
        <v>1.0</v>
      </c>
      <c r="H123" s="1">
        <v>1.0</v>
      </c>
      <c r="I123" s="1">
        <v>1.0</v>
      </c>
      <c r="J123" s="1">
        <v>1.0</v>
      </c>
      <c r="K123" s="1">
        <v>1.0</v>
      </c>
      <c r="L123" s="1">
        <v>1.0</v>
      </c>
      <c r="M123" s="1">
        <v>1.0</v>
      </c>
      <c r="N123" s="1">
        <v>1.0</v>
      </c>
      <c r="O123" s="1">
        <v>1.0</v>
      </c>
      <c r="P123" s="1">
        <v>1.0</v>
      </c>
      <c r="Q123" s="1">
        <v>1.0</v>
      </c>
      <c r="R123" s="1">
        <v>1.0</v>
      </c>
      <c r="S123" s="1">
        <v>1.0</v>
      </c>
      <c r="T123" s="1">
        <v>1.0</v>
      </c>
      <c r="U123" s="1">
        <v>1.0</v>
      </c>
      <c r="V123" s="1">
        <v>1.0</v>
      </c>
      <c r="W123" s="1">
        <v>1.0</v>
      </c>
      <c r="X123" s="1">
        <v>1.0</v>
      </c>
      <c r="Y123" s="1">
        <v>1.0</v>
      </c>
      <c r="Z123" s="1">
        <v>1.0</v>
      </c>
      <c r="AA123" s="1">
        <v>1.0</v>
      </c>
      <c r="AB123" s="1">
        <v>1.0</v>
      </c>
      <c r="AC123" s="1">
        <v>1.0</v>
      </c>
      <c r="AD123" s="1">
        <v>1.0</v>
      </c>
      <c r="AE123" s="1">
        <v>1.0</v>
      </c>
      <c r="AF123" s="1">
        <v>1.0</v>
      </c>
      <c r="AG123" s="1">
        <v>1.0</v>
      </c>
      <c r="AH123" s="1">
        <v>1.0</v>
      </c>
      <c r="AI123" s="1">
        <v>1.0</v>
      </c>
      <c r="AJ123" s="1">
        <v>1.0</v>
      </c>
      <c r="AK123" s="1">
        <v>1.0</v>
      </c>
      <c r="AL123" s="1">
        <v>1.0</v>
      </c>
      <c r="AM123" s="1">
        <v>1.0</v>
      </c>
      <c r="AN123" s="1">
        <v>1.0</v>
      </c>
      <c r="AO123" s="1">
        <v>1.0</v>
      </c>
      <c r="AP123" s="1">
        <v>1.0</v>
      </c>
      <c r="AQ123" s="1">
        <v>1.0</v>
      </c>
      <c r="AR123" s="1">
        <v>1.0</v>
      </c>
      <c r="AS123" s="1">
        <v>1.0</v>
      </c>
      <c r="AT123" s="1">
        <v>1.0</v>
      </c>
      <c r="AU123" s="1">
        <v>1.0</v>
      </c>
      <c r="AV123" s="1">
        <v>1.0</v>
      </c>
      <c r="AW123" s="1">
        <v>1.0</v>
      </c>
      <c r="AX123" s="1">
        <v>1.0</v>
      </c>
      <c r="AY123" s="1">
        <v>1.0</v>
      </c>
      <c r="AZ123" s="1">
        <v>1.0</v>
      </c>
      <c r="BA123" s="1">
        <v>1.0</v>
      </c>
      <c r="BB123" s="1">
        <v>1.0</v>
      </c>
      <c r="BC123" s="1">
        <v>1.0</v>
      </c>
      <c r="BD123" s="1">
        <v>1.0</v>
      </c>
      <c r="BE123" s="1">
        <v>1.0</v>
      </c>
      <c r="BF123" s="1">
        <v>1.0</v>
      </c>
      <c r="BG123" s="1">
        <v>1.0</v>
      </c>
      <c r="BH123" s="1">
        <v>1.0</v>
      </c>
      <c r="BI123" s="1">
        <v>1.0</v>
      </c>
      <c r="BJ123" s="1">
        <v>1.0</v>
      </c>
      <c r="BK123" s="1">
        <v>1.0</v>
      </c>
      <c r="BL123" s="1">
        <v>1.0</v>
      </c>
      <c r="BM123" s="1">
        <v>1.0</v>
      </c>
      <c r="BN123" s="1">
        <v>1.0</v>
      </c>
      <c r="BO123" s="1">
        <v>1.0</v>
      </c>
      <c r="BP123" s="1">
        <v>1.0</v>
      </c>
      <c r="BQ123" s="1">
        <v>1.0</v>
      </c>
      <c r="BR123" s="1">
        <v>1.0</v>
      </c>
      <c r="BS123" s="1">
        <v>1.0</v>
      </c>
      <c r="BT123" s="1">
        <v>1.0</v>
      </c>
      <c r="BU123" s="1">
        <v>1.0</v>
      </c>
      <c r="BV123" s="1">
        <v>1.0</v>
      </c>
      <c r="BW123" s="1">
        <v>1.0</v>
      </c>
      <c r="BX123" s="1">
        <v>1.0</v>
      </c>
      <c r="BY123" s="1">
        <v>1.0</v>
      </c>
      <c r="BZ123" s="1">
        <v>1.0</v>
      </c>
    </row>
    <row r="124">
      <c r="A124" s="19">
        <v>46260.55453833334</v>
      </c>
      <c r="B124" s="1" t="s">
        <v>162</v>
      </c>
      <c r="C124" s="1" t="s">
        <v>707</v>
      </c>
      <c r="D124" s="1">
        <v>2002.0</v>
      </c>
      <c r="E124" s="1" t="s">
        <v>296</v>
      </c>
      <c r="F124" s="1" t="s">
        <v>708</v>
      </c>
      <c r="G124" s="1">
        <v>4.0</v>
      </c>
      <c r="H124" s="1">
        <v>4.0</v>
      </c>
      <c r="I124" s="1">
        <v>1.0</v>
      </c>
      <c r="J124" s="1">
        <v>4.0</v>
      </c>
      <c r="K124" s="1">
        <v>4.0</v>
      </c>
      <c r="L124" s="1">
        <v>3.0</v>
      </c>
      <c r="M124" s="1">
        <v>4.0</v>
      </c>
      <c r="N124" s="1">
        <v>4.0</v>
      </c>
      <c r="O124" s="1">
        <v>3.0</v>
      </c>
      <c r="P124" s="1">
        <v>4.0</v>
      </c>
      <c r="Q124" s="1">
        <v>4.0</v>
      </c>
      <c r="R124" s="1">
        <v>4.0</v>
      </c>
      <c r="S124" s="1">
        <v>4.0</v>
      </c>
      <c r="T124" s="1">
        <v>4.0</v>
      </c>
      <c r="U124" s="1">
        <v>2.0</v>
      </c>
      <c r="V124" s="1">
        <v>4.0</v>
      </c>
      <c r="W124" s="1">
        <v>4.0</v>
      </c>
      <c r="X124" s="1">
        <v>4.0</v>
      </c>
      <c r="Y124" s="1">
        <v>4.0</v>
      </c>
      <c r="Z124" s="1">
        <v>4.0</v>
      </c>
      <c r="AA124" s="1">
        <v>4.0</v>
      </c>
      <c r="AB124" s="1">
        <v>4.0</v>
      </c>
      <c r="AC124" s="1">
        <v>4.0</v>
      </c>
      <c r="AD124" s="1">
        <v>4.0</v>
      </c>
      <c r="AE124" s="1">
        <v>5.0</v>
      </c>
      <c r="AF124" s="1">
        <v>5.0</v>
      </c>
      <c r="AG124" s="1">
        <v>5.0</v>
      </c>
      <c r="AH124" s="1">
        <v>5.0</v>
      </c>
      <c r="AI124" s="1">
        <v>5.0</v>
      </c>
      <c r="AJ124" s="1">
        <v>5.0</v>
      </c>
      <c r="AK124" s="1">
        <v>5.0</v>
      </c>
      <c r="AL124" s="1">
        <v>4.0</v>
      </c>
      <c r="AM124" s="1">
        <v>5.0</v>
      </c>
      <c r="AN124" s="1">
        <v>5.0</v>
      </c>
      <c r="AO124" s="1">
        <v>4.0</v>
      </c>
      <c r="AP124" s="1">
        <v>5.0</v>
      </c>
      <c r="AQ124" s="1">
        <v>4.0</v>
      </c>
      <c r="AR124" s="1">
        <v>5.0</v>
      </c>
      <c r="AS124" s="1">
        <v>4.0</v>
      </c>
      <c r="AT124" s="1">
        <v>5.0</v>
      </c>
      <c r="AU124" s="1">
        <v>5.0</v>
      </c>
      <c r="AV124" s="1">
        <v>5.0</v>
      </c>
      <c r="AW124" s="1">
        <v>5.0</v>
      </c>
      <c r="AX124" s="1">
        <v>5.0</v>
      </c>
      <c r="AY124" s="1">
        <v>4.0</v>
      </c>
      <c r="AZ124" s="1">
        <v>5.0</v>
      </c>
      <c r="BA124" s="1">
        <v>5.0</v>
      </c>
      <c r="BB124" s="1">
        <v>5.0</v>
      </c>
      <c r="BC124" s="1">
        <v>5.0</v>
      </c>
      <c r="BD124" s="1">
        <v>5.0</v>
      </c>
      <c r="BE124" s="1">
        <v>3.0</v>
      </c>
      <c r="BF124" s="1">
        <v>5.0</v>
      </c>
      <c r="BG124" s="1">
        <v>5.0</v>
      </c>
      <c r="BH124" s="1">
        <v>5.0</v>
      </c>
      <c r="BI124" s="1">
        <v>5.0</v>
      </c>
      <c r="BJ124" s="1">
        <v>5.0</v>
      </c>
      <c r="BK124" s="1">
        <v>5.0</v>
      </c>
      <c r="BL124" s="1">
        <v>4.0</v>
      </c>
      <c r="BM124" s="1">
        <v>5.0</v>
      </c>
      <c r="BN124" s="1">
        <v>5.0</v>
      </c>
      <c r="BO124" s="1">
        <v>5.0</v>
      </c>
      <c r="BP124" s="1">
        <v>5.0</v>
      </c>
      <c r="BQ124" s="1">
        <v>5.0</v>
      </c>
      <c r="BR124" s="1">
        <v>5.0</v>
      </c>
      <c r="BS124" s="1">
        <v>5.0</v>
      </c>
      <c r="BT124" s="1">
        <v>5.0</v>
      </c>
      <c r="BU124" s="1">
        <v>5.0</v>
      </c>
      <c r="BV124" s="1">
        <v>5.0</v>
      </c>
      <c r="BW124" s="1">
        <v>5.0</v>
      </c>
      <c r="BX124" s="1">
        <v>5.0</v>
      </c>
      <c r="BY124" s="1">
        <v>5.0</v>
      </c>
      <c r="BZ124" s="1">
        <v>3.0</v>
      </c>
    </row>
    <row r="125">
      <c r="A125" s="19">
        <v>46260.55588443287</v>
      </c>
      <c r="B125" s="1" t="s">
        <v>162</v>
      </c>
      <c r="C125" s="1" t="s">
        <v>712</v>
      </c>
      <c r="D125" s="1">
        <v>2026.0</v>
      </c>
      <c r="E125" s="1" t="s">
        <v>340</v>
      </c>
      <c r="F125" s="1" t="s">
        <v>713</v>
      </c>
      <c r="G125" s="1">
        <v>3.0</v>
      </c>
      <c r="H125" s="1">
        <v>3.0</v>
      </c>
      <c r="I125" s="1">
        <v>2.0</v>
      </c>
      <c r="J125" s="1">
        <v>4.0</v>
      </c>
      <c r="K125" s="1">
        <v>3.0</v>
      </c>
      <c r="L125" s="1">
        <v>2.0</v>
      </c>
      <c r="M125" s="1">
        <v>3.0</v>
      </c>
      <c r="N125" s="1">
        <v>4.0</v>
      </c>
      <c r="O125" s="1">
        <v>5.0</v>
      </c>
      <c r="P125" s="1">
        <v>3.0</v>
      </c>
      <c r="Q125" s="1">
        <v>3.0</v>
      </c>
      <c r="R125" s="1">
        <v>2.0</v>
      </c>
      <c r="S125" s="1">
        <v>2.0</v>
      </c>
      <c r="T125" s="1">
        <v>4.0</v>
      </c>
      <c r="U125" s="1">
        <v>5.0</v>
      </c>
      <c r="V125" s="1">
        <v>5.0</v>
      </c>
      <c r="W125" s="1">
        <v>3.0</v>
      </c>
      <c r="X125" s="1">
        <v>3.0</v>
      </c>
      <c r="Y125" s="1">
        <v>3.0</v>
      </c>
      <c r="Z125" s="1">
        <v>3.0</v>
      </c>
      <c r="AA125" s="1">
        <v>5.0</v>
      </c>
      <c r="AB125" s="1">
        <v>5.0</v>
      </c>
      <c r="AC125" s="1">
        <v>4.0</v>
      </c>
      <c r="AD125" s="1">
        <v>4.0</v>
      </c>
      <c r="AE125" s="1">
        <v>3.0</v>
      </c>
      <c r="AF125" s="1">
        <v>3.0</v>
      </c>
      <c r="AG125" s="1">
        <v>5.0</v>
      </c>
      <c r="AH125" s="1">
        <v>5.0</v>
      </c>
      <c r="AI125" s="1">
        <v>4.0</v>
      </c>
      <c r="AJ125" s="1">
        <v>3.0</v>
      </c>
      <c r="AK125" s="1">
        <v>3.0</v>
      </c>
      <c r="AL125" s="1">
        <v>3.0</v>
      </c>
      <c r="AM125" s="1">
        <v>4.0</v>
      </c>
      <c r="AN125" s="1">
        <v>5.0</v>
      </c>
      <c r="AO125" s="1">
        <v>2.0</v>
      </c>
      <c r="AP125" s="1">
        <v>2.0</v>
      </c>
      <c r="AQ125" s="1">
        <v>2.0</v>
      </c>
      <c r="AR125" s="1">
        <v>2.0</v>
      </c>
      <c r="AS125" s="1">
        <v>5.0</v>
      </c>
      <c r="AT125" s="1">
        <v>5.0</v>
      </c>
      <c r="AU125" s="1">
        <v>3.0</v>
      </c>
      <c r="AV125" s="1">
        <v>4.0</v>
      </c>
      <c r="AW125" s="1">
        <v>4.0</v>
      </c>
      <c r="AX125" s="1">
        <v>3.0</v>
      </c>
      <c r="AY125" s="1">
        <v>5.0</v>
      </c>
      <c r="AZ125" s="1">
        <v>5.0</v>
      </c>
      <c r="BA125" s="1">
        <v>4.0</v>
      </c>
      <c r="BB125" s="1">
        <v>3.0</v>
      </c>
      <c r="BC125" s="1">
        <v>4.0</v>
      </c>
      <c r="BD125" s="1">
        <v>3.0</v>
      </c>
      <c r="BE125" s="1">
        <v>4.0</v>
      </c>
      <c r="BF125" s="1">
        <v>5.0</v>
      </c>
      <c r="BG125" s="1">
        <v>4.0</v>
      </c>
      <c r="BH125" s="1">
        <v>2.0</v>
      </c>
      <c r="BI125" s="1">
        <v>3.0</v>
      </c>
      <c r="BJ125" s="1">
        <v>5.0</v>
      </c>
      <c r="BK125" s="1">
        <v>5.0</v>
      </c>
      <c r="BL125" s="1">
        <v>4.0</v>
      </c>
      <c r="BM125" s="1">
        <v>4.0</v>
      </c>
      <c r="BN125" s="1">
        <v>2.0</v>
      </c>
      <c r="BO125" s="1">
        <v>3.0</v>
      </c>
      <c r="BP125" s="1">
        <v>3.0</v>
      </c>
      <c r="BQ125" s="1">
        <v>3.0</v>
      </c>
      <c r="BR125" s="1">
        <v>5.0</v>
      </c>
      <c r="BS125" s="1">
        <v>5.0</v>
      </c>
      <c r="BT125" s="1">
        <v>5.0</v>
      </c>
      <c r="BU125" s="1">
        <v>3.0</v>
      </c>
      <c r="BV125" s="1">
        <v>3.0</v>
      </c>
      <c r="BW125" s="1">
        <v>4.0</v>
      </c>
      <c r="BX125" s="1">
        <v>4.0</v>
      </c>
      <c r="BY125" s="1">
        <v>5.0</v>
      </c>
      <c r="BZ125" s="1">
        <v>5.0</v>
      </c>
    </row>
    <row r="126">
      <c r="A126" s="19">
        <v>46260.55752459491</v>
      </c>
      <c r="B126" s="1" t="s">
        <v>162</v>
      </c>
      <c r="C126" s="1" t="s">
        <v>714</v>
      </c>
      <c r="D126" s="1">
        <v>2603.0</v>
      </c>
      <c r="E126" s="1" t="s">
        <v>277</v>
      </c>
      <c r="F126" s="1" t="s">
        <v>715</v>
      </c>
      <c r="G126" s="1">
        <v>2.0</v>
      </c>
      <c r="H126" s="1">
        <v>2.0</v>
      </c>
      <c r="I126" s="1">
        <v>3.0</v>
      </c>
      <c r="J126" s="1">
        <v>3.0</v>
      </c>
      <c r="K126" s="1">
        <v>2.0</v>
      </c>
      <c r="L126" s="1">
        <v>2.0</v>
      </c>
      <c r="M126" s="1">
        <v>2.0</v>
      </c>
      <c r="N126" s="1">
        <v>2.0</v>
      </c>
      <c r="O126" s="1">
        <v>3.0</v>
      </c>
      <c r="P126" s="1">
        <v>2.0</v>
      </c>
      <c r="Q126" s="1">
        <v>2.0</v>
      </c>
      <c r="R126" s="1">
        <v>3.0</v>
      </c>
      <c r="S126" s="1">
        <v>2.0</v>
      </c>
      <c r="T126" s="1">
        <v>3.0</v>
      </c>
      <c r="U126" s="1">
        <v>5.0</v>
      </c>
      <c r="V126" s="1">
        <v>3.0</v>
      </c>
      <c r="W126" s="1">
        <v>2.0</v>
      </c>
      <c r="X126" s="1">
        <v>2.0</v>
      </c>
      <c r="Y126" s="1">
        <v>2.0</v>
      </c>
      <c r="Z126" s="1">
        <v>2.0</v>
      </c>
      <c r="AA126" s="1">
        <v>5.0</v>
      </c>
      <c r="AB126" s="1">
        <v>5.0</v>
      </c>
      <c r="AC126" s="1">
        <v>5.0</v>
      </c>
      <c r="AD126" s="1">
        <v>2.0</v>
      </c>
      <c r="AE126" s="1">
        <v>2.0</v>
      </c>
      <c r="AF126" s="1">
        <v>2.0</v>
      </c>
      <c r="AG126" s="1">
        <v>3.0</v>
      </c>
      <c r="AH126" s="1">
        <v>5.0</v>
      </c>
      <c r="AI126" s="1">
        <v>3.0</v>
      </c>
      <c r="AJ126" s="1">
        <v>3.0</v>
      </c>
      <c r="AK126" s="1">
        <v>3.0</v>
      </c>
      <c r="AL126" s="1">
        <v>3.0</v>
      </c>
      <c r="AM126" s="1">
        <v>4.0</v>
      </c>
      <c r="AN126" s="1">
        <v>3.0</v>
      </c>
      <c r="AO126" s="1">
        <v>3.0</v>
      </c>
      <c r="AP126" s="1">
        <v>3.0</v>
      </c>
      <c r="AQ126" s="1">
        <v>2.0</v>
      </c>
      <c r="AR126" s="1">
        <v>2.0</v>
      </c>
      <c r="AS126" s="1">
        <v>3.0</v>
      </c>
      <c r="AT126" s="1">
        <v>3.0</v>
      </c>
      <c r="AU126" s="1">
        <v>2.0</v>
      </c>
      <c r="AV126" s="1">
        <v>3.0</v>
      </c>
      <c r="AW126" s="1">
        <v>2.0</v>
      </c>
      <c r="AX126" s="1">
        <v>2.0</v>
      </c>
      <c r="AY126" s="1">
        <v>2.0</v>
      </c>
      <c r="AZ126" s="1">
        <v>4.0</v>
      </c>
      <c r="BA126" s="1">
        <v>5.0</v>
      </c>
      <c r="BB126" s="1">
        <v>5.0</v>
      </c>
      <c r="BC126" s="1">
        <v>4.0</v>
      </c>
      <c r="BD126" s="1">
        <v>3.0</v>
      </c>
      <c r="BE126" s="1">
        <v>5.0</v>
      </c>
      <c r="BF126" s="1">
        <v>5.0</v>
      </c>
      <c r="BG126" s="1">
        <v>4.0</v>
      </c>
      <c r="BH126" s="1">
        <v>4.0</v>
      </c>
      <c r="BI126" s="1">
        <v>4.0</v>
      </c>
      <c r="BJ126" s="1">
        <v>4.0</v>
      </c>
      <c r="BK126" s="1">
        <v>4.0</v>
      </c>
      <c r="BL126" s="1">
        <v>4.0</v>
      </c>
      <c r="BM126" s="1">
        <v>5.0</v>
      </c>
      <c r="BN126" s="1">
        <v>4.0</v>
      </c>
      <c r="BO126" s="1">
        <v>4.0</v>
      </c>
      <c r="BP126" s="1">
        <v>4.0</v>
      </c>
      <c r="BQ126" s="1">
        <v>3.0</v>
      </c>
      <c r="BR126" s="1">
        <v>5.0</v>
      </c>
      <c r="BS126" s="1">
        <v>5.0</v>
      </c>
      <c r="BT126" s="1">
        <v>5.0</v>
      </c>
      <c r="BU126" s="1">
        <v>4.0</v>
      </c>
      <c r="BV126" s="1">
        <v>4.0</v>
      </c>
      <c r="BW126" s="1">
        <v>4.0</v>
      </c>
      <c r="BX126" s="1">
        <v>4.0</v>
      </c>
      <c r="BY126" s="1">
        <v>4.0</v>
      </c>
      <c r="BZ126" s="1">
        <v>4.0</v>
      </c>
    </row>
    <row r="127">
      <c r="A127" s="19">
        <v>46260.55966315972</v>
      </c>
      <c r="B127" s="1" t="s">
        <v>162</v>
      </c>
      <c r="C127" s="1" t="s">
        <v>716</v>
      </c>
      <c r="D127" s="1">
        <v>2006.0</v>
      </c>
      <c r="E127" s="1" t="s">
        <v>701</v>
      </c>
      <c r="F127" s="1" t="s">
        <v>226</v>
      </c>
      <c r="G127" s="1">
        <v>1.0</v>
      </c>
      <c r="H127" s="1">
        <v>1.0</v>
      </c>
      <c r="I127" s="1">
        <v>1.0</v>
      </c>
      <c r="J127" s="1">
        <v>1.0</v>
      </c>
      <c r="K127" s="1">
        <v>1.0</v>
      </c>
      <c r="L127" s="1">
        <v>1.0</v>
      </c>
      <c r="M127" s="1">
        <v>1.0</v>
      </c>
      <c r="N127" s="1">
        <v>1.0</v>
      </c>
      <c r="O127" s="1">
        <v>1.0</v>
      </c>
      <c r="P127" s="1">
        <v>1.0</v>
      </c>
      <c r="Q127" s="1">
        <v>1.0</v>
      </c>
      <c r="R127" s="1">
        <v>1.0</v>
      </c>
      <c r="S127" s="1">
        <v>1.0</v>
      </c>
      <c r="T127" s="1">
        <v>1.0</v>
      </c>
      <c r="U127" s="1">
        <v>1.0</v>
      </c>
      <c r="V127" s="1">
        <v>1.0</v>
      </c>
      <c r="W127" s="1">
        <v>1.0</v>
      </c>
      <c r="X127" s="1">
        <v>1.0</v>
      </c>
      <c r="Y127" s="1">
        <v>1.0</v>
      </c>
      <c r="Z127" s="1">
        <v>1.0</v>
      </c>
      <c r="AA127" s="1">
        <v>1.0</v>
      </c>
      <c r="AB127" s="1">
        <v>1.0</v>
      </c>
      <c r="AC127" s="1">
        <v>1.0</v>
      </c>
      <c r="AD127" s="1">
        <v>1.0</v>
      </c>
      <c r="AE127" s="1">
        <v>1.0</v>
      </c>
      <c r="AF127" s="1">
        <v>1.0</v>
      </c>
      <c r="AG127" s="1">
        <v>1.0</v>
      </c>
      <c r="AH127" s="1">
        <v>1.0</v>
      </c>
      <c r="AI127" s="1">
        <v>1.0</v>
      </c>
      <c r="AJ127" s="1">
        <v>1.0</v>
      </c>
      <c r="AK127" s="1">
        <v>1.0</v>
      </c>
      <c r="AL127" s="1">
        <v>1.0</v>
      </c>
      <c r="AM127" s="1">
        <v>1.0</v>
      </c>
      <c r="AN127" s="1">
        <v>1.0</v>
      </c>
      <c r="AO127" s="1">
        <v>1.0</v>
      </c>
      <c r="AP127" s="1">
        <v>1.0</v>
      </c>
      <c r="AQ127" s="1">
        <v>1.0</v>
      </c>
      <c r="AR127" s="1">
        <v>1.0</v>
      </c>
      <c r="AS127" s="1">
        <v>1.0</v>
      </c>
      <c r="AT127" s="1">
        <v>1.0</v>
      </c>
      <c r="AU127" s="1">
        <v>1.0</v>
      </c>
      <c r="AV127" s="1">
        <v>1.0</v>
      </c>
      <c r="AW127" s="1">
        <v>1.0</v>
      </c>
      <c r="AX127" s="1">
        <v>1.0</v>
      </c>
      <c r="AY127" s="1">
        <v>1.0</v>
      </c>
      <c r="AZ127" s="1">
        <v>1.0</v>
      </c>
      <c r="BA127" s="1">
        <v>1.0</v>
      </c>
      <c r="BB127" s="1">
        <v>1.0</v>
      </c>
      <c r="BC127" s="1">
        <v>1.0</v>
      </c>
      <c r="BD127" s="1">
        <v>1.0</v>
      </c>
      <c r="BE127" s="1">
        <v>1.0</v>
      </c>
      <c r="BF127" s="1">
        <v>1.0</v>
      </c>
      <c r="BG127" s="1">
        <v>1.0</v>
      </c>
      <c r="BH127" s="1">
        <v>1.0</v>
      </c>
      <c r="BI127" s="1">
        <v>1.0</v>
      </c>
      <c r="BJ127" s="1">
        <v>1.0</v>
      </c>
      <c r="BK127" s="1">
        <v>1.0</v>
      </c>
      <c r="BL127" s="1">
        <v>1.0</v>
      </c>
      <c r="BM127" s="1">
        <v>1.0</v>
      </c>
      <c r="BN127" s="1">
        <v>1.0</v>
      </c>
      <c r="BO127" s="1">
        <v>1.0</v>
      </c>
      <c r="BP127" s="1">
        <v>1.0</v>
      </c>
      <c r="BQ127" s="1">
        <v>1.0</v>
      </c>
      <c r="BR127" s="1">
        <v>1.0</v>
      </c>
      <c r="BS127" s="1">
        <v>1.0</v>
      </c>
      <c r="BT127" s="1">
        <v>1.0</v>
      </c>
      <c r="BU127" s="1">
        <v>1.0</v>
      </c>
      <c r="BV127" s="1">
        <v>1.0</v>
      </c>
      <c r="BW127" s="1">
        <v>1.0</v>
      </c>
      <c r="BX127" s="1">
        <v>1.0</v>
      </c>
      <c r="BY127" s="1">
        <v>1.0</v>
      </c>
      <c r="BZ127" s="1">
        <v>1.0</v>
      </c>
    </row>
    <row r="128">
      <c r="A128" s="19">
        <v>46260.55982427084</v>
      </c>
      <c r="B128" s="1" t="s">
        <v>162</v>
      </c>
      <c r="C128" s="1" t="s">
        <v>720</v>
      </c>
      <c r="D128" s="1">
        <v>2026.0</v>
      </c>
      <c r="E128" s="1" t="s">
        <v>340</v>
      </c>
      <c r="F128" s="1" t="s">
        <v>721</v>
      </c>
      <c r="G128" s="1">
        <v>4.0</v>
      </c>
      <c r="H128" s="1">
        <v>4.0</v>
      </c>
      <c r="I128" s="1">
        <v>4.0</v>
      </c>
      <c r="J128" s="1">
        <v>5.0</v>
      </c>
      <c r="K128" s="1">
        <v>5.0</v>
      </c>
      <c r="L128" s="1">
        <v>3.0</v>
      </c>
      <c r="M128" s="1">
        <v>3.0</v>
      </c>
      <c r="N128" s="1">
        <v>5.0</v>
      </c>
      <c r="O128" s="1">
        <v>4.0</v>
      </c>
      <c r="P128" s="1">
        <v>5.0</v>
      </c>
      <c r="Q128" s="1">
        <v>3.0</v>
      </c>
      <c r="R128" s="1">
        <v>4.0</v>
      </c>
      <c r="S128" s="1">
        <v>5.0</v>
      </c>
      <c r="T128" s="1">
        <v>4.0</v>
      </c>
      <c r="U128" s="1">
        <v>3.0</v>
      </c>
      <c r="V128" s="1">
        <v>5.0</v>
      </c>
      <c r="W128" s="1">
        <v>4.0</v>
      </c>
      <c r="X128" s="1">
        <v>3.0</v>
      </c>
      <c r="Y128" s="1">
        <v>3.0</v>
      </c>
      <c r="Z128" s="1">
        <v>3.0</v>
      </c>
      <c r="AA128" s="1">
        <v>5.0</v>
      </c>
      <c r="AB128" s="1">
        <v>5.0</v>
      </c>
      <c r="AC128" s="1">
        <v>5.0</v>
      </c>
      <c r="AD128" s="1">
        <v>5.0</v>
      </c>
      <c r="AE128" s="1">
        <v>4.0</v>
      </c>
      <c r="AF128" s="1">
        <v>5.0</v>
      </c>
      <c r="AG128" s="1">
        <v>3.0</v>
      </c>
      <c r="AH128" s="1">
        <v>5.0</v>
      </c>
      <c r="AI128" s="1">
        <v>4.0</v>
      </c>
      <c r="AJ128" s="1">
        <v>5.0</v>
      </c>
      <c r="AK128" s="1">
        <v>5.0</v>
      </c>
      <c r="AL128" s="1">
        <v>5.0</v>
      </c>
      <c r="AM128" s="1">
        <v>5.0</v>
      </c>
      <c r="AN128" s="1">
        <v>4.0</v>
      </c>
      <c r="AO128" s="1">
        <v>4.0</v>
      </c>
      <c r="AP128" s="1">
        <v>3.0</v>
      </c>
      <c r="AQ128" s="1">
        <v>4.0</v>
      </c>
      <c r="AR128" s="1">
        <v>4.0</v>
      </c>
      <c r="AS128" s="1">
        <v>5.0</v>
      </c>
      <c r="AT128" s="1">
        <v>5.0</v>
      </c>
      <c r="AU128" s="1">
        <v>5.0</v>
      </c>
      <c r="AV128" s="1">
        <v>5.0</v>
      </c>
      <c r="AW128" s="1">
        <v>4.0</v>
      </c>
      <c r="AX128" s="1">
        <v>4.0</v>
      </c>
      <c r="AY128" s="1">
        <v>5.0</v>
      </c>
      <c r="AZ128" s="1">
        <v>5.0</v>
      </c>
      <c r="BA128" s="1">
        <v>4.0</v>
      </c>
      <c r="BB128" s="1">
        <v>5.0</v>
      </c>
      <c r="BC128" s="1">
        <v>4.0</v>
      </c>
      <c r="BD128" s="1">
        <v>4.0</v>
      </c>
      <c r="BE128" s="1">
        <v>5.0</v>
      </c>
      <c r="BF128" s="1">
        <v>4.0</v>
      </c>
      <c r="BG128" s="1">
        <v>5.0</v>
      </c>
      <c r="BH128" s="1">
        <v>5.0</v>
      </c>
      <c r="BI128" s="1">
        <v>5.0</v>
      </c>
      <c r="BJ128" s="1">
        <v>4.0</v>
      </c>
      <c r="BK128" s="1">
        <v>4.0</v>
      </c>
      <c r="BL128" s="1">
        <v>4.0</v>
      </c>
      <c r="BM128" s="1">
        <v>5.0</v>
      </c>
      <c r="BN128" s="1">
        <v>5.0</v>
      </c>
      <c r="BO128" s="1">
        <v>4.0</v>
      </c>
      <c r="BP128" s="1">
        <v>3.0</v>
      </c>
      <c r="BQ128" s="1">
        <v>5.0</v>
      </c>
      <c r="BR128" s="1">
        <v>5.0</v>
      </c>
      <c r="BS128" s="1">
        <v>5.0</v>
      </c>
      <c r="BT128" s="1">
        <v>5.0</v>
      </c>
      <c r="BU128" s="1">
        <v>4.0</v>
      </c>
      <c r="BV128" s="1">
        <v>3.0</v>
      </c>
      <c r="BW128" s="1">
        <v>5.0</v>
      </c>
      <c r="BX128" s="1">
        <v>5.0</v>
      </c>
      <c r="BY128" s="1">
        <v>5.0</v>
      </c>
      <c r="BZ128" s="1">
        <v>5.0</v>
      </c>
    </row>
    <row r="129">
      <c r="A129" s="19">
        <v>46260.562887465276</v>
      </c>
      <c r="B129" s="1" t="s">
        <v>162</v>
      </c>
      <c r="C129" s="1" t="s">
        <v>224</v>
      </c>
      <c r="D129" s="1">
        <v>2006.0</v>
      </c>
      <c r="E129" s="1" t="s">
        <v>225</v>
      </c>
      <c r="F129" s="1" t="s">
        <v>226</v>
      </c>
      <c r="G129" s="1">
        <v>1.0</v>
      </c>
      <c r="H129" s="1">
        <v>1.0</v>
      </c>
      <c r="I129" s="1">
        <v>1.0</v>
      </c>
      <c r="J129" s="1">
        <v>1.0</v>
      </c>
      <c r="K129" s="1">
        <v>1.0</v>
      </c>
      <c r="L129" s="1">
        <v>1.0</v>
      </c>
      <c r="M129" s="1">
        <v>1.0</v>
      </c>
      <c r="N129" s="1">
        <v>1.0</v>
      </c>
      <c r="O129" s="1">
        <v>1.0</v>
      </c>
      <c r="P129" s="1">
        <v>1.0</v>
      </c>
      <c r="Q129" s="1">
        <v>1.0</v>
      </c>
      <c r="R129" s="1">
        <v>1.0</v>
      </c>
      <c r="S129" s="1">
        <v>1.0</v>
      </c>
      <c r="T129" s="1">
        <v>1.0</v>
      </c>
      <c r="U129" s="1">
        <v>1.0</v>
      </c>
      <c r="V129" s="1">
        <v>1.0</v>
      </c>
      <c r="W129" s="1">
        <v>1.0</v>
      </c>
      <c r="X129" s="1">
        <v>1.0</v>
      </c>
      <c r="Y129" s="1">
        <v>1.0</v>
      </c>
      <c r="Z129" s="1">
        <v>1.0</v>
      </c>
      <c r="AA129" s="1">
        <v>1.0</v>
      </c>
      <c r="AB129" s="1">
        <v>1.0</v>
      </c>
      <c r="AC129" s="1">
        <v>1.0</v>
      </c>
      <c r="AD129" s="1">
        <v>1.0</v>
      </c>
      <c r="AE129" s="1">
        <v>1.0</v>
      </c>
      <c r="AF129" s="1">
        <v>1.0</v>
      </c>
      <c r="AG129" s="1">
        <v>1.0</v>
      </c>
      <c r="AH129" s="1">
        <v>1.0</v>
      </c>
      <c r="AI129" s="1">
        <v>1.0</v>
      </c>
      <c r="AJ129" s="1">
        <v>1.0</v>
      </c>
      <c r="AK129" s="1">
        <v>1.0</v>
      </c>
      <c r="AL129" s="1">
        <v>1.0</v>
      </c>
      <c r="AM129" s="1">
        <v>1.0</v>
      </c>
      <c r="AN129" s="1">
        <v>1.0</v>
      </c>
      <c r="AO129" s="1">
        <v>1.0</v>
      </c>
      <c r="AP129" s="1">
        <v>1.0</v>
      </c>
      <c r="AQ129" s="1">
        <v>1.0</v>
      </c>
      <c r="AR129" s="1">
        <v>1.0</v>
      </c>
      <c r="AS129" s="1">
        <v>1.0</v>
      </c>
      <c r="AT129" s="1">
        <v>1.0</v>
      </c>
      <c r="AU129" s="1">
        <v>1.0</v>
      </c>
      <c r="AV129" s="1">
        <v>1.0</v>
      </c>
      <c r="AW129" s="1">
        <v>1.0</v>
      </c>
      <c r="AX129" s="1">
        <v>1.0</v>
      </c>
      <c r="AY129" s="1">
        <v>1.0</v>
      </c>
      <c r="AZ129" s="1">
        <v>1.0</v>
      </c>
      <c r="BA129" s="1">
        <v>1.0</v>
      </c>
      <c r="BB129" s="1">
        <v>1.0</v>
      </c>
      <c r="BC129" s="1">
        <v>1.0</v>
      </c>
      <c r="BD129" s="1">
        <v>1.0</v>
      </c>
      <c r="BE129" s="1">
        <v>1.0</v>
      </c>
      <c r="BF129" s="1">
        <v>1.0</v>
      </c>
      <c r="BG129" s="1">
        <v>1.0</v>
      </c>
      <c r="BH129" s="1">
        <v>1.0</v>
      </c>
      <c r="BI129" s="1">
        <v>1.0</v>
      </c>
      <c r="BJ129" s="1">
        <v>1.0</v>
      </c>
      <c r="BK129" s="1">
        <v>1.0</v>
      </c>
      <c r="BL129" s="1">
        <v>1.0</v>
      </c>
      <c r="BM129" s="1">
        <v>1.0</v>
      </c>
      <c r="BN129" s="1">
        <v>1.0</v>
      </c>
      <c r="BO129" s="1">
        <v>1.0</v>
      </c>
      <c r="BP129" s="1">
        <v>1.0</v>
      </c>
      <c r="BQ129" s="1">
        <v>1.0</v>
      </c>
      <c r="BR129" s="1">
        <v>1.0</v>
      </c>
      <c r="BS129" s="1">
        <v>1.0</v>
      </c>
      <c r="BT129" s="1">
        <v>1.0</v>
      </c>
      <c r="BU129" s="1">
        <v>1.0</v>
      </c>
      <c r="BV129" s="1">
        <v>1.0</v>
      </c>
      <c r="BW129" s="1">
        <v>1.0</v>
      </c>
      <c r="BX129" s="1">
        <v>1.0</v>
      </c>
      <c r="BY129" s="1">
        <v>1.0</v>
      </c>
      <c r="BZ129" s="1">
        <v>1.0</v>
      </c>
    </row>
    <row r="130">
      <c r="A130" s="19">
        <v>46260.56676083333</v>
      </c>
      <c r="B130" s="1" t="s">
        <v>162</v>
      </c>
      <c r="C130" s="1" t="s">
        <v>727</v>
      </c>
      <c r="D130" s="1">
        <v>2006.0</v>
      </c>
      <c r="E130" s="1" t="s">
        <v>701</v>
      </c>
      <c r="F130" s="1" t="s">
        <v>613</v>
      </c>
      <c r="G130" s="1">
        <v>1.0</v>
      </c>
      <c r="H130" s="1">
        <v>1.0</v>
      </c>
      <c r="I130" s="1">
        <v>1.0</v>
      </c>
      <c r="J130" s="1">
        <v>1.0</v>
      </c>
      <c r="K130" s="1">
        <v>1.0</v>
      </c>
      <c r="L130" s="1">
        <v>1.0</v>
      </c>
      <c r="M130" s="1">
        <v>1.0</v>
      </c>
      <c r="N130" s="1">
        <v>1.0</v>
      </c>
      <c r="O130" s="1">
        <v>1.0</v>
      </c>
      <c r="P130" s="1">
        <v>1.0</v>
      </c>
      <c r="Q130" s="1">
        <v>1.0</v>
      </c>
      <c r="R130" s="1">
        <v>1.0</v>
      </c>
      <c r="S130" s="1">
        <v>1.0</v>
      </c>
      <c r="T130" s="1">
        <v>1.0</v>
      </c>
      <c r="U130" s="1">
        <v>1.0</v>
      </c>
      <c r="V130" s="1">
        <v>1.0</v>
      </c>
      <c r="W130" s="1">
        <v>1.0</v>
      </c>
      <c r="X130" s="1">
        <v>1.0</v>
      </c>
      <c r="Y130" s="1">
        <v>1.0</v>
      </c>
      <c r="Z130" s="1">
        <v>1.0</v>
      </c>
      <c r="AA130" s="1">
        <v>1.0</v>
      </c>
      <c r="AB130" s="1">
        <v>1.0</v>
      </c>
      <c r="AC130" s="1">
        <v>1.0</v>
      </c>
      <c r="AD130" s="1">
        <v>1.0</v>
      </c>
      <c r="AE130" s="1">
        <v>1.0</v>
      </c>
      <c r="AF130" s="1">
        <v>1.0</v>
      </c>
      <c r="AG130" s="1">
        <v>1.0</v>
      </c>
      <c r="AH130" s="1">
        <v>1.0</v>
      </c>
      <c r="AI130" s="1">
        <v>1.0</v>
      </c>
      <c r="AJ130" s="1">
        <v>1.0</v>
      </c>
      <c r="AK130" s="1">
        <v>1.0</v>
      </c>
      <c r="AL130" s="1">
        <v>1.0</v>
      </c>
      <c r="AM130" s="1">
        <v>1.0</v>
      </c>
      <c r="AN130" s="1">
        <v>1.0</v>
      </c>
      <c r="AO130" s="1">
        <v>1.0</v>
      </c>
      <c r="AP130" s="1">
        <v>1.0</v>
      </c>
      <c r="AQ130" s="1">
        <v>1.0</v>
      </c>
      <c r="AR130" s="1">
        <v>1.0</v>
      </c>
      <c r="AS130" s="1">
        <v>1.0</v>
      </c>
      <c r="AT130" s="1">
        <v>1.0</v>
      </c>
      <c r="AU130" s="1">
        <v>1.0</v>
      </c>
      <c r="AV130" s="1">
        <v>1.0</v>
      </c>
      <c r="AW130" s="1">
        <v>1.0</v>
      </c>
      <c r="AX130" s="1">
        <v>1.0</v>
      </c>
      <c r="AY130" s="1">
        <v>1.0</v>
      </c>
      <c r="AZ130" s="1">
        <v>1.0</v>
      </c>
      <c r="BA130" s="1">
        <v>1.0</v>
      </c>
      <c r="BB130" s="1">
        <v>1.0</v>
      </c>
      <c r="BC130" s="1">
        <v>1.0</v>
      </c>
      <c r="BD130" s="1">
        <v>1.0</v>
      </c>
      <c r="BE130" s="1">
        <v>1.0</v>
      </c>
      <c r="BF130" s="1">
        <v>1.0</v>
      </c>
      <c r="BG130" s="1">
        <v>1.0</v>
      </c>
      <c r="BH130" s="1">
        <v>1.0</v>
      </c>
      <c r="BI130" s="1">
        <v>1.0</v>
      </c>
      <c r="BJ130" s="1">
        <v>1.0</v>
      </c>
      <c r="BK130" s="1">
        <v>1.0</v>
      </c>
      <c r="BL130" s="1">
        <v>1.0</v>
      </c>
      <c r="BM130" s="1">
        <v>1.0</v>
      </c>
      <c r="BN130" s="1">
        <v>1.0</v>
      </c>
      <c r="BO130" s="1">
        <v>1.0</v>
      </c>
      <c r="BP130" s="1">
        <v>1.0</v>
      </c>
      <c r="BQ130" s="1">
        <v>1.0</v>
      </c>
      <c r="BR130" s="1">
        <v>1.0</v>
      </c>
      <c r="BS130" s="1">
        <v>1.0</v>
      </c>
      <c r="BT130" s="1">
        <v>1.0</v>
      </c>
      <c r="BU130" s="1">
        <v>1.0</v>
      </c>
      <c r="BV130" s="1">
        <v>1.0</v>
      </c>
      <c r="BW130" s="1">
        <v>1.0</v>
      </c>
      <c r="BX130" s="1">
        <v>1.0</v>
      </c>
      <c r="BY130" s="1">
        <v>1.0</v>
      </c>
      <c r="BZ130" s="1">
        <v>1.0</v>
      </c>
    </row>
    <row r="131">
      <c r="A131" s="19">
        <v>46260.5709194213</v>
      </c>
      <c r="B131" s="1" t="s">
        <v>162</v>
      </c>
      <c r="C131" s="1" t="s">
        <v>732</v>
      </c>
      <c r="D131" s="1">
        <v>2006.0</v>
      </c>
      <c r="E131" s="1" t="s">
        <v>701</v>
      </c>
      <c r="F131" s="1" t="s">
        <v>613</v>
      </c>
      <c r="G131" s="1">
        <v>1.0</v>
      </c>
      <c r="H131" s="1">
        <v>1.0</v>
      </c>
      <c r="I131" s="1">
        <v>1.0</v>
      </c>
      <c r="J131" s="1">
        <v>1.0</v>
      </c>
      <c r="K131" s="1">
        <v>1.0</v>
      </c>
      <c r="L131" s="1">
        <v>1.0</v>
      </c>
      <c r="M131" s="1">
        <v>1.0</v>
      </c>
      <c r="N131" s="1">
        <v>1.0</v>
      </c>
      <c r="O131" s="1">
        <v>1.0</v>
      </c>
      <c r="P131" s="1">
        <v>1.0</v>
      </c>
      <c r="Q131" s="1">
        <v>1.0</v>
      </c>
      <c r="R131" s="1">
        <v>1.0</v>
      </c>
      <c r="S131" s="1">
        <v>1.0</v>
      </c>
      <c r="T131" s="1">
        <v>1.0</v>
      </c>
      <c r="U131" s="1">
        <v>1.0</v>
      </c>
      <c r="V131" s="1">
        <v>1.0</v>
      </c>
      <c r="W131" s="1">
        <v>1.0</v>
      </c>
      <c r="X131" s="1">
        <v>1.0</v>
      </c>
      <c r="Y131" s="1">
        <v>1.0</v>
      </c>
      <c r="Z131" s="1">
        <v>1.0</v>
      </c>
      <c r="AA131" s="1">
        <v>1.0</v>
      </c>
      <c r="AB131" s="1">
        <v>1.0</v>
      </c>
      <c r="AC131" s="1">
        <v>1.0</v>
      </c>
      <c r="AD131" s="1">
        <v>1.0</v>
      </c>
      <c r="AE131" s="1">
        <v>1.0</v>
      </c>
      <c r="AF131" s="1">
        <v>1.0</v>
      </c>
      <c r="AG131" s="1">
        <v>1.0</v>
      </c>
      <c r="AH131" s="1">
        <v>1.0</v>
      </c>
      <c r="AI131" s="1">
        <v>1.0</v>
      </c>
      <c r="AJ131" s="1">
        <v>1.0</v>
      </c>
      <c r="AK131" s="1">
        <v>1.0</v>
      </c>
      <c r="AL131" s="1">
        <v>1.0</v>
      </c>
      <c r="AM131" s="1">
        <v>1.0</v>
      </c>
      <c r="AN131" s="1">
        <v>1.0</v>
      </c>
      <c r="AO131" s="1">
        <v>1.0</v>
      </c>
      <c r="AP131" s="1">
        <v>1.0</v>
      </c>
      <c r="AQ131" s="1">
        <v>1.0</v>
      </c>
      <c r="AR131" s="1">
        <v>1.0</v>
      </c>
      <c r="AS131" s="1">
        <v>1.0</v>
      </c>
      <c r="AT131" s="1">
        <v>1.0</v>
      </c>
      <c r="AU131" s="1">
        <v>1.0</v>
      </c>
      <c r="AV131" s="1">
        <v>1.0</v>
      </c>
      <c r="AW131" s="1">
        <v>1.0</v>
      </c>
      <c r="AX131" s="1">
        <v>1.0</v>
      </c>
      <c r="AY131" s="1">
        <v>1.0</v>
      </c>
      <c r="AZ131" s="1">
        <v>1.0</v>
      </c>
      <c r="BA131" s="1">
        <v>1.0</v>
      </c>
      <c r="BB131" s="1">
        <v>1.0</v>
      </c>
      <c r="BC131" s="1">
        <v>1.0</v>
      </c>
      <c r="BD131" s="1">
        <v>1.0</v>
      </c>
      <c r="BE131" s="1">
        <v>1.0</v>
      </c>
      <c r="BF131" s="1">
        <v>1.0</v>
      </c>
      <c r="BG131" s="1">
        <v>1.0</v>
      </c>
      <c r="BH131" s="1">
        <v>1.0</v>
      </c>
      <c r="BI131" s="1">
        <v>1.0</v>
      </c>
      <c r="BJ131" s="1">
        <v>1.0</v>
      </c>
      <c r="BK131" s="1">
        <v>1.0</v>
      </c>
      <c r="BL131" s="1">
        <v>1.0</v>
      </c>
      <c r="BM131" s="1">
        <v>1.0</v>
      </c>
      <c r="BN131" s="1">
        <v>1.0</v>
      </c>
      <c r="BO131" s="1">
        <v>1.0</v>
      </c>
      <c r="BP131" s="1">
        <v>1.0</v>
      </c>
      <c r="BQ131" s="1">
        <v>1.0</v>
      </c>
      <c r="BR131" s="1">
        <v>1.0</v>
      </c>
      <c r="BS131" s="1">
        <v>1.0</v>
      </c>
      <c r="BT131" s="1">
        <v>1.0</v>
      </c>
      <c r="BU131" s="1">
        <v>1.0</v>
      </c>
      <c r="BV131" s="1">
        <v>1.0</v>
      </c>
      <c r="BW131" s="1">
        <v>1.0</v>
      </c>
      <c r="BX131" s="1">
        <v>1.0</v>
      </c>
      <c r="BY131" s="1">
        <v>1.0</v>
      </c>
      <c r="BZ131" s="1">
        <v>1.0</v>
      </c>
    </row>
    <row r="132">
      <c r="A132" s="19">
        <v>46260.57317164352</v>
      </c>
      <c r="B132" s="1" t="s">
        <v>162</v>
      </c>
      <c r="C132" s="1" t="s">
        <v>163</v>
      </c>
      <c r="D132" s="1">
        <v>2005.0</v>
      </c>
      <c r="E132" s="1" t="s">
        <v>164</v>
      </c>
      <c r="F132" s="1" t="s">
        <v>165</v>
      </c>
      <c r="G132" s="1">
        <v>1.0</v>
      </c>
      <c r="H132" s="1">
        <v>1.0</v>
      </c>
      <c r="I132" s="1">
        <v>4.0</v>
      </c>
      <c r="J132" s="1">
        <v>1.0</v>
      </c>
      <c r="K132" s="1">
        <v>1.0</v>
      </c>
      <c r="L132" s="1">
        <v>4.0</v>
      </c>
      <c r="M132" s="1">
        <v>4.0</v>
      </c>
      <c r="N132" s="1">
        <v>1.0</v>
      </c>
      <c r="O132" s="1">
        <v>1.0</v>
      </c>
      <c r="P132" s="1">
        <v>4.0</v>
      </c>
      <c r="Q132" s="1">
        <v>4.0</v>
      </c>
      <c r="R132" s="1">
        <v>1.0</v>
      </c>
      <c r="S132" s="1">
        <v>1.0</v>
      </c>
      <c r="T132" s="1">
        <v>4.0</v>
      </c>
      <c r="U132" s="1">
        <v>4.0</v>
      </c>
      <c r="V132" s="1">
        <v>4.0</v>
      </c>
      <c r="W132" s="1">
        <v>1.0</v>
      </c>
      <c r="X132" s="1">
        <v>1.0</v>
      </c>
      <c r="Y132" s="1">
        <v>4.0</v>
      </c>
      <c r="Z132" s="1">
        <v>4.0</v>
      </c>
      <c r="AA132" s="1">
        <v>1.0</v>
      </c>
      <c r="AB132" s="1">
        <v>1.0</v>
      </c>
      <c r="AC132" s="1">
        <v>4.0</v>
      </c>
      <c r="AD132" s="1">
        <v>4.0</v>
      </c>
      <c r="AE132" s="1">
        <v>4.0</v>
      </c>
      <c r="AF132" s="1">
        <v>1.0</v>
      </c>
      <c r="AG132" s="1">
        <v>1.0</v>
      </c>
      <c r="AH132" s="1">
        <v>4.0</v>
      </c>
      <c r="AI132" s="1">
        <v>4.0</v>
      </c>
      <c r="AJ132" s="1">
        <v>4.0</v>
      </c>
      <c r="AK132" s="1">
        <v>1.0</v>
      </c>
      <c r="AL132" s="1">
        <v>1.0</v>
      </c>
      <c r="AM132" s="1">
        <v>4.0</v>
      </c>
      <c r="AN132" s="1">
        <v>4.0</v>
      </c>
      <c r="AO132" s="1">
        <v>4.0</v>
      </c>
      <c r="AP132" s="1">
        <v>1.0</v>
      </c>
      <c r="AQ132" s="1">
        <v>1.0</v>
      </c>
      <c r="AR132" s="1">
        <v>4.0</v>
      </c>
      <c r="AS132" s="1">
        <v>4.0</v>
      </c>
      <c r="AT132" s="1">
        <v>4.0</v>
      </c>
      <c r="AU132" s="1">
        <v>1.0</v>
      </c>
      <c r="AV132" s="1">
        <v>1.0</v>
      </c>
      <c r="AW132" s="1">
        <v>4.0</v>
      </c>
      <c r="AX132" s="1">
        <v>4.0</v>
      </c>
      <c r="AY132" s="1">
        <v>1.0</v>
      </c>
      <c r="AZ132" s="1">
        <v>1.0</v>
      </c>
      <c r="BA132" s="1">
        <v>4.0</v>
      </c>
      <c r="BB132" s="1">
        <v>4.0</v>
      </c>
      <c r="BC132" s="1">
        <v>1.0</v>
      </c>
      <c r="BD132" s="1">
        <v>4.0</v>
      </c>
      <c r="BE132" s="1">
        <v>4.0</v>
      </c>
      <c r="BF132" s="1">
        <v>1.0</v>
      </c>
      <c r="BG132" s="1">
        <v>4.0</v>
      </c>
      <c r="BH132" s="1">
        <v>4.0</v>
      </c>
      <c r="BI132" s="1">
        <v>1.0</v>
      </c>
      <c r="BJ132" s="1">
        <v>1.0</v>
      </c>
      <c r="BK132" s="1">
        <v>4.0</v>
      </c>
      <c r="BL132" s="1">
        <v>1.0</v>
      </c>
      <c r="BM132" s="1">
        <v>1.0</v>
      </c>
      <c r="BN132" s="1">
        <v>4.0</v>
      </c>
      <c r="BO132" s="1">
        <v>1.0</v>
      </c>
      <c r="BP132" s="1">
        <v>1.0</v>
      </c>
      <c r="BQ132" s="1">
        <v>4.0</v>
      </c>
      <c r="BR132" s="1">
        <v>1.0</v>
      </c>
      <c r="BS132" s="1">
        <v>1.0</v>
      </c>
      <c r="BT132" s="1">
        <v>4.0</v>
      </c>
      <c r="BU132" s="1">
        <v>1.0</v>
      </c>
      <c r="BV132" s="1">
        <v>4.0</v>
      </c>
      <c r="BW132" s="1">
        <v>1.0</v>
      </c>
      <c r="BX132" s="1">
        <v>1.0</v>
      </c>
      <c r="BY132" s="1">
        <v>4.0</v>
      </c>
      <c r="BZ132" s="1">
        <v>3.0</v>
      </c>
    </row>
    <row r="133">
      <c r="A133" s="19">
        <v>46260.57317228009</v>
      </c>
      <c r="B133" s="1" t="s">
        <v>162</v>
      </c>
      <c r="C133" s="1" t="s">
        <v>224</v>
      </c>
      <c r="D133" s="1">
        <v>2006.0</v>
      </c>
      <c r="E133" s="1" t="s">
        <v>225</v>
      </c>
      <c r="F133" s="1" t="s">
        <v>226</v>
      </c>
      <c r="G133" s="1">
        <v>1.0</v>
      </c>
      <c r="H133" s="1">
        <v>1.0</v>
      </c>
      <c r="I133" s="1">
        <v>1.0</v>
      </c>
      <c r="J133" s="1">
        <v>1.0</v>
      </c>
      <c r="K133" s="1">
        <v>1.0</v>
      </c>
      <c r="L133" s="1">
        <v>1.0</v>
      </c>
      <c r="M133" s="1">
        <v>1.0</v>
      </c>
      <c r="N133" s="1">
        <v>1.0</v>
      </c>
      <c r="O133" s="1">
        <v>1.0</v>
      </c>
      <c r="P133" s="1">
        <v>1.0</v>
      </c>
      <c r="Q133" s="1">
        <v>1.0</v>
      </c>
      <c r="R133" s="1">
        <v>1.0</v>
      </c>
      <c r="S133" s="1">
        <v>1.0</v>
      </c>
      <c r="T133" s="1">
        <v>1.0</v>
      </c>
      <c r="U133" s="1">
        <v>1.0</v>
      </c>
      <c r="V133" s="1">
        <v>1.0</v>
      </c>
      <c r="W133" s="1">
        <v>1.0</v>
      </c>
      <c r="X133" s="1">
        <v>1.0</v>
      </c>
      <c r="Y133" s="1">
        <v>1.0</v>
      </c>
      <c r="Z133" s="1">
        <v>1.0</v>
      </c>
      <c r="AA133" s="1">
        <v>1.0</v>
      </c>
      <c r="AB133" s="1">
        <v>1.0</v>
      </c>
      <c r="AC133" s="1">
        <v>1.0</v>
      </c>
      <c r="AD133" s="1">
        <v>1.0</v>
      </c>
      <c r="AE133" s="1">
        <v>1.0</v>
      </c>
      <c r="AF133" s="1">
        <v>1.0</v>
      </c>
      <c r="AG133" s="1">
        <v>1.0</v>
      </c>
      <c r="AH133" s="1">
        <v>1.0</v>
      </c>
      <c r="AI133" s="1">
        <v>1.0</v>
      </c>
      <c r="AJ133" s="1">
        <v>1.0</v>
      </c>
      <c r="AK133" s="1">
        <v>1.0</v>
      </c>
      <c r="AL133" s="1">
        <v>1.0</v>
      </c>
      <c r="AM133" s="1">
        <v>1.0</v>
      </c>
      <c r="AN133" s="1">
        <v>1.0</v>
      </c>
      <c r="AO133" s="1">
        <v>1.0</v>
      </c>
      <c r="AP133" s="1">
        <v>1.0</v>
      </c>
      <c r="AQ133" s="1">
        <v>1.0</v>
      </c>
      <c r="AR133" s="1">
        <v>1.0</v>
      </c>
      <c r="AS133" s="1">
        <v>1.0</v>
      </c>
      <c r="AT133" s="1">
        <v>1.0</v>
      </c>
      <c r="AU133" s="1">
        <v>1.0</v>
      </c>
      <c r="AV133" s="1">
        <v>1.0</v>
      </c>
      <c r="AW133" s="1">
        <v>1.0</v>
      </c>
      <c r="AX133" s="1">
        <v>1.0</v>
      </c>
      <c r="AY133" s="1">
        <v>1.0</v>
      </c>
      <c r="AZ133" s="1">
        <v>1.0</v>
      </c>
      <c r="BA133" s="1">
        <v>1.0</v>
      </c>
      <c r="BB133" s="1">
        <v>1.0</v>
      </c>
      <c r="BC133" s="1">
        <v>1.0</v>
      </c>
      <c r="BD133" s="1">
        <v>1.0</v>
      </c>
      <c r="BE133" s="1">
        <v>1.0</v>
      </c>
      <c r="BF133" s="1">
        <v>1.0</v>
      </c>
      <c r="BG133" s="1">
        <v>1.0</v>
      </c>
      <c r="BH133" s="1">
        <v>1.0</v>
      </c>
      <c r="BI133" s="1">
        <v>1.0</v>
      </c>
      <c r="BJ133" s="1">
        <v>1.0</v>
      </c>
      <c r="BK133" s="1">
        <v>1.0</v>
      </c>
      <c r="BL133" s="1">
        <v>1.0</v>
      </c>
      <c r="BM133" s="1">
        <v>1.0</v>
      </c>
      <c r="BN133" s="1">
        <v>1.0</v>
      </c>
      <c r="BO133" s="1">
        <v>1.0</v>
      </c>
      <c r="BP133" s="1">
        <v>1.0</v>
      </c>
      <c r="BQ133" s="1">
        <v>1.0</v>
      </c>
      <c r="BR133" s="1">
        <v>1.0</v>
      </c>
      <c r="BS133" s="1">
        <v>1.0</v>
      </c>
      <c r="BT133" s="1">
        <v>1.0</v>
      </c>
      <c r="BU133" s="1">
        <v>1.0</v>
      </c>
      <c r="BV133" s="1">
        <v>1.0</v>
      </c>
      <c r="BW133" s="1">
        <v>1.0</v>
      </c>
      <c r="BX133" s="1">
        <v>1.0</v>
      </c>
      <c r="BY133" s="1">
        <v>1.0</v>
      </c>
      <c r="BZ133" s="1">
        <v>1.0</v>
      </c>
    </row>
    <row r="134">
      <c r="A134" s="19">
        <v>46260.58260439815</v>
      </c>
      <c r="B134" s="1" t="s">
        <v>162</v>
      </c>
      <c r="C134" s="1" t="s">
        <v>742</v>
      </c>
      <c r="D134" s="1">
        <v>2008.0</v>
      </c>
      <c r="E134" s="1" t="s">
        <v>701</v>
      </c>
      <c r="F134" s="1" t="s">
        <v>613</v>
      </c>
      <c r="G134" s="1">
        <v>1.0</v>
      </c>
      <c r="H134" s="1">
        <v>1.0</v>
      </c>
      <c r="I134" s="1">
        <v>1.0</v>
      </c>
      <c r="J134" s="1">
        <v>1.0</v>
      </c>
      <c r="K134" s="1">
        <v>1.0</v>
      </c>
      <c r="L134" s="1">
        <v>1.0</v>
      </c>
      <c r="M134" s="1">
        <v>1.0</v>
      </c>
      <c r="N134" s="1">
        <v>1.0</v>
      </c>
      <c r="O134" s="1">
        <v>1.0</v>
      </c>
      <c r="P134" s="1">
        <v>1.0</v>
      </c>
      <c r="Q134" s="1">
        <v>1.0</v>
      </c>
      <c r="R134" s="1">
        <v>1.0</v>
      </c>
      <c r="S134" s="1">
        <v>1.0</v>
      </c>
      <c r="T134" s="1">
        <v>1.0</v>
      </c>
      <c r="U134" s="1">
        <v>1.0</v>
      </c>
      <c r="V134" s="1">
        <v>1.0</v>
      </c>
      <c r="W134" s="1">
        <v>1.0</v>
      </c>
      <c r="X134" s="1">
        <v>1.0</v>
      </c>
      <c r="Y134" s="1">
        <v>1.0</v>
      </c>
      <c r="Z134" s="1">
        <v>1.0</v>
      </c>
      <c r="AA134" s="1">
        <v>1.0</v>
      </c>
      <c r="AB134" s="1">
        <v>1.0</v>
      </c>
      <c r="AC134" s="1">
        <v>1.0</v>
      </c>
      <c r="AD134" s="1">
        <v>1.0</v>
      </c>
      <c r="AE134" s="1">
        <v>1.0</v>
      </c>
      <c r="AF134" s="1">
        <v>1.0</v>
      </c>
      <c r="AG134" s="1">
        <v>1.0</v>
      </c>
      <c r="AH134" s="1">
        <v>1.0</v>
      </c>
      <c r="AI134" s="1">
        <v>1.0</v>
      </c>
      <c r="AJ134" s="1">
        <v>1.0</v>
      </c>
      <c r="AK134" s="1">
        <v>1.0</v>
      </c>
      <c r="AL134" s="1">
        <v>1.0</v>
      </c>
      <c r="AM134" s="1">
        <v>1.0</v>
      </c>
      <c r="AN134" s="1">
        <v>1.0</v>
      </c>
      <c r="AO134" s="1">
        <v>1.0</v>
      </c>
      <c r="AP134" s="1">
        <v>1.0</v>
      </c>
      <c r="AQ134" s="1">
        <v>1.0</v>
      </c>
      <c r="AR134" s="1">
        <v>1.0</v>
      </c>
      <c r="AS134" s="1">
        <v>1.0</v>
      </c>
      <c r="AT134" s="1">
        <v>1.0</v>
      </c>
      <c r="AU134" s="1">
        <v>1.0</v>
      </c>
      <c r="AV134" s="1">
        <v>1.0</v>
      </c>
      <c r="AW134" s="1">
        <v>1.0</v>
      </c>
      <c r="AX134" s="1">
        <v>1.0</v>
      </c>
      <c r="AY134" s="1">
        <v>1.0</v>
      </c>
      <c r="AZ134" s="1">
        <v>1.0</v>
      </c>
      <c r="BA134" s="1">
        <v>1.0</v>
      </c>
      <c r="BB134" s="1">
        <v>1.0</v>
      </c>
      <c r="BC134" s="1">
        <v>1.0</v>
      </c>
      <c r="BD134" s="1">
        <v>1.0</v>
      </c>
      <c r="BE134" s="1">
        <v>1.0</v>
      </c>
      <c r="BF134" s="1">
        <v>1.0</v>
      </c>
      <c r="BG134" s="1">
        <v>1.0</v>
      </c>
      <c r="BH134" s="1">
        <v>1.0</v>
      </c>
      <c r="BI134" s="1">
        <v>1.0</v>
      </c>
      <c r="BJ134" s="1">
        <v>1.0</v>
      </c>
      <c r="BK134" s="1">
        <v>1.0</v>
      </c>
      <c r="BL134" s="1">
        <v>1.0</v>
      </c>
      <c r="BM134" s="1">
        <v>1.0</v>
      </c>
      <c r="BN134" s="1">
        <v>1.0</v>
      </c>
      <c r="BO134" s="1">
        <v>1.0</v>
      </c>
      <c r="BP134" s="1">
        <v>1.0</v>
      </c>
      <c r="BQ134" s="1">
        <v>1.0</v>
      </c>
      <c r="BR134" s="1">
        <v>1.0</v>
      </c>
      <c r="BS134" s="1">
        <v>1.0</v>
      </c>
      <c r="BT134" s="1">
        <v>1.0</v>
      </c>
      <c r="BU134" s="1">
        <v>1.0</v>
      </c>
      <c r="BV134" s="1">
        <v>1.0</v>
      </c>
      <c r="BW134" s="1">
        <v>1.0</v>
      </c>
      <c r="BX134" s="1">
        <v>1.0</v>
      </c>
      <c r="BY134" s="1">
        <v>1.0</v>
      </c>
      <c r="BZ134" s="1">
        <v>1.0</v>
      </c>
    </row>
    <row r="135">
      <c r="A135" s="19">
        <v>46260.58576271991</v>
      </c>
      <c r="B135" s="1" t="s">
        <v>162</v>
      </c>
      <c r="C135" s="1" t="s">
        <v>746</v>
      </c>
      <c r="D135" s="1">
        <v>2026.0</v>
      </c>
      <c r="E135" s="1" t="s">
        <v>356</v>
      </c>
      <c r="F135" s="1" t="s">
        <v>747</v>
      </c>
      <c r="G135" s="1">
        <v>3.0</v>
      </c>
      <c r="H135" s="1">
        <v>3.0</v>
      </c>
      <c r="I135" s="1">
        <v>3.0</v>
      </c>
      <c r="J135" s="1">
        <v>5.0</v>
      </c>
      <c r="K135" s="1">
        <v>5.0</v>
      </c>
      <c r="L135" s="1">
        <v>3.0</v>
      </c>
      <c r="M135" s="1">
        <v>3.0</v>
      </c>
      <c r="N135" s="1">
        <v>3.0</v>
      </c>
      <c r="O135" s="1">
        <v>5.0</v>
      </c>
      <c r="P135" s="1">
        <v>5.0</v>
      </c>
      <c r="Q135" s="1">
        <v>5.0</v>
      </c>
      <c r="R135" s="1">
        <v>5.0</v>
      </c>
      <c r="S135" s="1">
        <v>3.0</v>
      </c>
      <c r="T135" s="1">
        <v>3.0</v>
      </c>
      <c r="U135" s="1">
        <v>3.0</v>
      </c>
      <c r="V135" s="1">
        <v>5.0</v>
      </c>
      <c r="W135" s="1">
        <v>5.0</v>
      </c>
      <c r="X135" s="1">
        <v>5.0</v>
      </c>
      <c r="Y135" s="1">
        <v>5.0</v>
      </c>
      <c r="Z135" s="1">
        <v>5.0</v>
      </c>
      <c r="AA135" s="1">
        <v>5.0</v>
      </c>
      <c r="AB135" s="1">
        <v>5.0</v>
      </c>
      <c r="AC135" s="1">
        <v>5.0</v>
      </c>
      <c r="AD135" s="1">
        <v>5.0</v>
      </c>
      <c r="AE135" s="1">
        <v>3.0</v>
      </c>
      <c r="AF135" s="1">
        <v>3.0</v>
      </c>
      <c r="AG135" s="1">
        <v>5.0</v>
      </c>
      <c r="AH135" s="1">
        <v>5.0</v>
      </c>
      <c r="AI135" s="1">
        <v>5.0</v>
      </c>
      <c r="AJ135" s="1">
        <v>5.0</v>
      </c>
      <c r="AK135" s="1">
        <v>5.0</v>
      </c>
      <c r="AL135" s="1">
        <v>3.0</v>
      </c>
      <c r="AM135" s="1">
        <v>5.0</v>
      </c>
      <c r="AN135" s="1">
        <v>5.0</v>
      </c>
      <c r="AO135" s="1">
        <v>3.0</v>
      </c>
      <c r="AP135" s="1">
        <v>3.0</v>
      </c>
      <c r="AQ135" s="1">
        <v>5.0</v>
      </c>
      <c r="AR135" s="1">
        <v>3.0</v>
      </c>
      <c r="AS135" s="1">
        <v>3.0</v>
      </c>
      <c r="AT135" s="1">
        <v>5.0</v>
      </c>
      <c r="AU135" s="1">
        <v>5.0</v>
      </c>
      <c r="AV135" s="1">
        <v>5.0</v>
      </c>
      <c r="AW135" s="1">
        <v>5.0</v>
      </c>
      <c r="AX135" s="1">
        <v>3.0</v>
      </c>
      <c r="AY135" s="1">
        <v>5.0</v>
      </c>
      <c r="AZ135" s="1">
        <v>5.0</v>
      </c>
      <c r="BA135" s="1">
        <v>5.0</v>
      </c>
      <c r="BB135" s="1">
        <v>5.0</v>
      </c>
      <c r="BC135" s="1">
        <v>5.0</v>
      </c>
      <c r="BD135" s="1">
        <v>3.0</v>
      </c>
      <c r="BE135" s="1">
        <v>3.0</v>
      </c>
      <c r="BF135" s="1">
        <v>5.0</v>
      </c>
      <c r="BG135" s="1">
        <v>3.0</v>
      </c>
      <c r="BH135" s="1">
        <v>3.0</v>
      </c>
      <c r="BI135" s="1">
        <v>3.0</v>
      </c>
      <c r="BJ135" s="1">
        <v>3.0</v>
      </c>
      <c r="BK135" s="1">
        <v>5.0</v>
      </c>
      <c r="BL135" s="1">
        <v>5.0</v>
      </c>
      <c r="BM135" s="1">
        <v>5.0</v>
      </c>
      <c r="BN135" s="1">
        <v>5.0</v>
      </c>
      <c r="BO135" s="1">
        <v>5.0</v>
      </c>
      <c r="BP135" s="1">
        <v>5.0</v>
      </c>
      <c r="BQ135" s="1">
        <v>5.0</v>
      </c>
      <c r="BR135" s="1">
        <v>5.0</v>
      </c>
      <c r="BS135" s="1">
        <v>5.0</v>
      </c>
      <c r="BT135" s="1">
        <v>5.0</v>
      </c>
      <c r="BU135" s="1">
        <v>5.0</v>
      </c>
      <c r="BV135" s="1">
        <v>5.0</v>
      </c>
      <c r="BW135" s="1">
        <v>5.0</v>
      </c>
      <c r="BX135" s="1">
        <v>5.0</v>
      </c>
      <c r="BY135" s="1">
        <v>5.0</v>
      </c>
      <c r="BZ135" s="1">
        <v>5.0</v>
      </c>
    </row>
    <row r="136">
      <c r="A136" s="19">
        <v>46260.58870666666</v>
      </c>
      <c r="B136" s="1" t="s">
        <v>162</v>
      </c>
      <c r="C136" s="1" t="s">
        <v>751</v>
      </c>
      <c r="D136" s="1">
        <v>2026.0</v>
      </c>
      <c r="E136" s="1" t="s">
        <v>365</v>
      </c>
      <c r="F136" s="1" t="s">
        <v>752</v>
      </c>
      <c r="G136" s="1">
        <v>5.0</v>
      </c>
      <c r="H136" s="1">
        <v>4.0</v>
      </c>
      <c r="I136" s="1">
        <v>3.0</v>
      </c>
      <c r="J136" s="1">
        <v>5.0</v>
      </c>
      <c r="K136" s="1">
        <v>4.0</v>
      </c>
      <c r="L136" s="1">
        <v>4.0</v>
      </c>
      <c r="M136" s="1">
        <v>4.0</v>
      </c>
      <c r="N136" s="1">
        <v>4.0</v>
      </c>
      <c r="O136" s="1">
        <v>4.0</v>
      </c>
      <c r="P136" s="1">
        <v>3.0</v>
      </c>
      <c r="Q136" s="1">
        <v>3.0</v>
      </c>
      <c r="R136" s="1">
        <v>4.0</v>
      </c>
      <c r="S136" s="1">
        <v>4.0</v>
      </c>
      <c r="T136" s="1">
        <v>4.0</v>
      </c>
      <c r="U136" s="1">
        <v>3.0</v>
      </c>
      <c r="V136" s="1">
        <v>5.0</v>
      </c>
      <c r="W136" s="1">
        <v>4.0</v>
      </c>
      <c r="X136" s="1">
        <v>3.0</v>
      </c>
      <c r="Y136" s="1">
        <v>3.0</v>
      </c>
      <c r="Z136" s="1">
        <v>5.0</v>
      </c>
      <c r="AA136" s="1">
        <v>3.0</v>
      </c>
      <c r="AB136" s="1">
        <v>5.0</v>
      </c>
      <c r="AC136" s="1">
        <v>4.0</v>
      </c>
      <c r="AD136" s="1">
        <v>4.0</v>
      </c>
      <c r="AE136" s="1">
        <v>4.0</v>
      </c>
      <c r="AF136" s="1">
        <v>4.0</v>
      </c>
      <c r="AG136" s="1">
        <v>4.0</v>
      </c>
      <c r="AH136" s="1">
        <v>5.0</v>
      </c>
      <c r="AI136" s="1">
        <v>4.0</v>
      </c>
      <c r="AJ136" s="1">
        <v>5.0</v>
      </c>
      <c r="AK136" s="1">
        <v>5.0</v>
      </c>
      <c r="AL136" s="1">
        <v>4.0</v>
      </c>
      <c r="AM136" s="1">
        <v>3.0</v>
      </c>
      <c r="AN136" s="1">
        <v>5.0</v>
      </c>
      <c r="AO136" s="1">
        <v>4.0</v>
      </c>
      <c r="AP136" s="1">
        <v>4.0</v>
      </c>
      <c r="AQ136" s="1">
        <v>4.0</v>
      </c>
      <c r="AR136" s="1">
        <v>4.0</v>
      </c>
      <c r="AS136" s="1">
        <v>4.0</v>
      </c>
      <c r="AT136" s="1">
        <v>4.0</v>
      </c>
      <c r="AU136" s="1">
        <v>4.0</v>
      </c>
      <c r="AV136" s="1">
        <v>3.0</v>
      </c>
      <c r="AW136" s="1">
        <v>3.0</v>
      </c>
      <c r="AX136" s="1">
        <v>4.0</v>
      </c>
      <c r="AY136" s="1">
        <v>4.0</v>
      </c>
      <c r="AZ136" s="1">
        <v>5.0</v>
      </c>
      <c r="BA136" s="1">
        <v>3.0</v>
      </c>
      <c r="BB136" s="1">
        <v>5.0</v>
      </c>
      <c r="BC136" s="1">
        <v>5.0</v>
      </c>
      <c r="BD136" s="1">
        <v>4.0</v>
      </c>
      <c r="BE136" s="1">
        <v>5.0</v>
      </c>
      <c r="BF136" s="1">
        <v>5.0</v>
      </c>
      <c r="BG136" s="1">
        <v>5.0</v>
      </c>
      <c r="BH136" s="1">
        <v>3.0</v>
      </c>
      <c r="BI136" s="1">
        <v>5.0</v>
      </c>
      <c r="BJ136" s="1">
        <v>3.0</v>
      </c>
      <c r="BK136" s="1">
        <v>4.0</v>
      </c>
      <c r="BL136" s="1">
        <v>4.0</v>
      </c>
      <c r="BM136" s="1">
        <v>5.0</v>
      </c>
      <c r="BN136" s="1">
        <v>5.0</v>
      </c>
      <c r="BO136" s="1">
        <v>4.0</v>
      </c>
      <c r="BP136" s="1">
        <v>4.0</v>
      </c>
      <c r="BQ136" s="1">
        <v>4.0</v>
      </c>
      <c r="BR136" s="1">
        <v>5.0</v>
      </c>
      <c r="BS136" s="1">
        <v>4.0</v>
      </c>
      <c r="BT136" s="1">
        <v>5.0</v>
      </c>
      <c r="BU136" s="1">
        <v>4.0</v>
      </c>
      <c r="BV136" s="1">
        <v>4.0</v>
      </c>
      <c r="BW136" s="1">
        <v>4.0</v>
      </c>
      <c r="BX136" s="1">
        <v>4.0</v>
      </c>
      <c r="BY136" s="1">
        <v>4.0</v>
      </c>
      <c r="BZ136" s="1">
        <v>5.0</v>
      </c>
    </row>
    <row r="137">
      <c r="A137" s="19">
        <v>46260.59074310186</v>
      </c>
      <c r="B137" s="1" t="s">
        <v>162</v>
      </c>
      <c r="C137" s="1" t="s">
        <v>756</v>
      </c>
      <c r="D137" s="1">
        <v>2006.0</v>
      </c>
      <c r="E137" s="1" t="s">
        <v>225</v>
      </c>
      <c r="F137" s="1" t="s">
        <v>226</v>
      </c>
      <c r="G137" s="1">
        <v>1.0</v>
      </c>
      <c r="H137" s="1">
        <v>1.0</v>
      </c>
      <c r="I137" s="1">
        <v>1.0</v>
      </c>
      <c r="J137" s="1">
        <v>1.0</v>
      </c>
      <c r="K137" s="1">
        <v>1.0</v>
      </c>
      <c r="L137" s="1">
        <v>1.0</v>
      </c>
      <c r="M137" s="1">
        <v>1.0</v>
      </c>
      <c r="N137" s="1">
        <v>1.0</v>
      </c>
      <c r="O137" s="1">
        <v>1.0</v>
      </c>
      <c r="P137" s="1">
        <v>1.0</v>
      </c>
      <c r="Q137" s="1">
        <v>1.0</v>
      </c>
      <c r="R137" s="1">
        <v>1.0</v>
      </c>
      <c r="S137" s="1">
        <v>1.0</v>
      </c>
      <c r="T137" s="1">
        <v>1.0</v>
      </c>
      <c r="U137" s="1">
        <v>1.0</v>
      </c>
      <c r="V137" s="1">
        <v>1.0</v>
      </c>
      <c r="W137" s="1">
        <v>1.0</v>
      </c>
      <c r="X137" s="1">
        <v>1.0</v>
      </c>
      <c r="Y137" s="1">
        <v>1.0</v>
      </c>
      <c r="Z137" s="1">
        <v>1.0</v>
      </c>
      <c r="AA137" s="1">
        <v>1.0</v>
      </c>
      <c r="AB137" s="1">
        <v>1.0</v>
      </c>
      <c r="AC137" s="1">
        <v>1.0</v>
      </c>
      <c r="AD137" s="1">
        <v>1.0</v>
      </c>
      <c r="AE137" s="1">
        <v>1.0</v>
      </c>
      <c r="AF137" s="1">
        <v>1.0</v>
      </c>
      <c r="AG137" s="1">
        <v>1.0</v>
      </c>
      <c r="AH137" s="1">
        <v>1.0</v>
      </c>
      <c r="AI137" s="1">
        <v>1.0</v>
      </c>
      <c r="AJ137" s="1">
        <v>1.0</v>
      </c>
      <c r="AK137" s="1">
        <v>1.0</v>
      </c>
      <c r="AL137" s="1">
        <v>1.0</v>
      </c>
      <c r="AM137" s="1">
        <v>1.0</v>
      </c>
      <c r="AN137" s="1">
        <v>1.0</v>
      </c>
      <c r="AO137" s="1">
        <v>1.0</v>
      </c>
      <c r="AP137" s="1">
        <v>1.0</v>
      </c>
      <c r="AQ137" s="1">
        <v>1.0</v>
      </c>
      <c r="AR137" s="1">
        <v>1.0</v>
      </c>
      <c r="AS137" s="1">
        <v>1.0</v>
      </c>
      <c r="AT137" s="1">
        <v>1.0</v>
      </c>
      <c r="AU137" s="1">
        <v>1.0</v>
      </c>
      <c r="AV137" s="1">
        <v>1.0</v>
      </c>
      <c r="AW137" s="1">
        <v>1.0</v>
      </c>
      <c r="AX137" s="1">
        <v>1.0</v>
      </c>
      <c r="AY137" s="1">
        <v>1.0</v>
      </c>
      <c r="AZ137" s="1">
        <v>1.0</v>
      </c>
      <c r="BA137" s="1">
        <v>1.0</v>
      </c>
      <c r="BB137" s="1">
        <v>1.0</v>
      </c>
      <c r="BC137" s="1">
        <v>1.0</v>
      </c>
      <c r="BD137" s="1">
        <v>1.0</v>
      </c>
      <c r="BE137" s="1">
        <v>1.0</v>
      </c>
      <c r="BF137" s="1">
        <v>1.0</v>
      </c>
      <c r="BG137" s="1">
        <v>1.0</v>
      </c>
      <c r="BH137" s="1">
        <v>1.0</v>
      </c>
      <c r="BI137" s="1">
        <v>1.0</v>
      </c>
      <c r="BJ137" s="1">
        <v>1.0</v>
      </c>
      <c r="BK137" s="1">
        <v>1.0</v>
      </c>
      <c r="BL137" s="1">
        <v>1.0</v>
      </c>
      <c r="BM137" s="1">
        <v>1.0</v>
      </c>
      <c r="BN137" s="1">
        <v>1.0</v>
      </c>
      <c r="BO137" s="1">
        <v>1.0</v>
      </c>
      <c r="BP137" s="1">
        <v>1.0</v>
      </c>
      <c r="BQ137" s="1">
        <v>1.0</v>
      </c>
      <c r="BR137" s="1">
        <v>1.0</v>
      </c>
      <c r="BS137" s="1">
        <v>1.0</v>
      </c>
      <c r="BT137" s="1">
        <v>1.0</v>
      </c>
      <c r="BU137" s="1">
        <v>1.0</v>
      </c>
      <c r="BV137" s="1">
        <v>1.0</v>
      </c>
      <c r="BW137" s="1">
        <v>1.0</v>
      </c>
      <c r="BX137" s="1">
        <v>1.0</v>
      </c>
      <c r="BY137" s="1">
        <v>1.0</v>
      </c>
      <c r="BZ137" s="1">
        <v>1.0</v>
      </c>
    </row>
    <row r="138">
      <c r="A138" s="19">
        <v>46260.59754751157</v>
      </c>
      <c r="B138" s="1" t="s">
        <v>162</v>
      </c>
      <c r="C138" s="1" t="s">
        <v>714</v>
      </c>
      <c r="D138" s="1">
        <v>2603.0</v>
      </c>
      <c r="E138" s="1" t="s">
        <v>277</v>
      </c>
      <c r="F138" s="1" t="s">
        <v>715</v>
      </c>
      <c r="G138" s="1">
        <v>2.0</v>
      </c>
      <c r="H138" s="1">
        <v>2.0</v>
      </c>
      <c r="I138" s="1">
        <v>3.0</v>
      </c>
      <c r="J138" s="1">
        <v>3.0</v>
      </c>
      <c r="K138" s="1">
        <v>2.0</v>
      </c>
      <c r="L138" s="1">
        <v>2.0</v>
      </c>
      <c r="M138" s="1">
        <v>2.0</v>
      </c>
      <c r="N138" s="1">
        <v>2.0</v>
      </c>
      <c r="O138" s="1">
        <v>3.0</v>
      </c>
      <c r="P138" s="1">
        <v>2.0</v>
      </c>
      <c r="Q138" s="1">
        <v>2.0</v>
      </c>
      <c r="R138" s="1">
        <v>3.0</v>
      </c>
      <c r="S138" s="1">
        <v>2.0</v>
      </c>
      <c r="T138" s="1">
        <v>3.0</v>
      </c>
      <c r="U138" s="1">
        <v>5.0</v>
      </c>
      <c r="V138" s="1">
        <v>3.0</v>
      </c>
      <c r="W138" s="1">
        <v>2.0</v>
      </c>
      <c r="X138" s="1">
        <v>2.0</v>
      </c>
      <c r="Y138" s="1">
        <v>2.0</v>
      </c>
      <c r="Z138" s="1">
        <v>2.0</v>
      </c>
      <c r="AA138" s="1">
        <v>5.0</v>
      </c>
      <c r="AB138" s="1">
        <v>5.0</v>
      </c>
      <c r="AC138" s="1">
        <v>5.0</v>
      </c>
      <c r="AD138" s="1">
        <v>2.0</v>
      </c>
      <c r="AE138" s="1">
        <v>2.0</v>
      </c>
      <c r="AF138" s="1">
        <v>2.0</v>
      </c>
      <c r="AG138" s="1">
        <v>3.0</v>
      </c>
      <c r="AH138" s="1">
        <v>5.0</v>
      </c>
      <c r="AI138" s="1">
        <v>3.0</v>
      </c>
      <c r="AJ138" s="1">
        <v>3.0</v>
      </c>
      <c r="AK138" s="1">
        <v>3.0</v>
      </c>
      <c r="AL138" s="1">
        <v>3.0</v>
      </c>
      <c r="AM138" s="1">
        <v>4.0</v>
      </c>
      <c r="AN138" s="1">
        <v>3.0</v>
      </c>
      <c r="AO138" s="1">
        <v>3.0</v>
      </c>
      <c r="AP138" s="1">
        <v>3.0</v>
      </c>
      <c r="AQ138" s="1">
        <v>2.0</v>
      </c>
      <c r="AR138" s="1">
        <v>2.0</v>
      </c>
      <c r="AS138" s="1">
        <v>3.0</v>
      </c>
      <c r="AT138" s="1">
        <v>3.0</v>
      </c>
      <c r="AU138" s="1">
        <v>2.0</v>
      </c>
      <c r="AV138" s="1">
        <v>3.0</v>
      </c>
      <c r="AW138" s="1">
        <v>2.0</v>
      </c>
      <c r="AX138" s="1">
        <v>2.0</v>
      </c>
      <c r="AY138" s="1">
        <v>2.0</v>
      </c>
      <c r="AZ138" s="1">
        <v>4.0</v>
      </c>
      <c r="BA138" s="1">
        <v>5.0</v>
      </c>
      <c r="BB138" s="1">
        <v>5.0</v>
      </c>
      <c r="BC138" s="1">
        <v>3.0</v>
      </c>
      <c r="BD138" s="1">
        <v>3.0</v>
      </c>
      <c r="BE138" s="1">
        <v>5.0</v>
      </c>
      <c r="BF138" s="1">
        <v>5.0</v>
      </c>
      <c r="BG138" s="1">
        <v>4.0</v>
      </c>
      <c r="BH138" s="1">
        <v>4.0</v>
      </c>
      <c r="BI138" s="1">
        <v>4.0</v>
      </c>
      <c r="BJ138" s="1">
        <v>4.0</v>
      </c>
      <c r="BK138" s="1">
        <v>4.0</v>
      </c>
      <c r="BL138" s="1">
        <v>4.0</v>
      </c>
      <c r="BM138" s="1">
        <v>5.0</v>
      </c>
      <c r="BN138" s="1">
        <v>4.0</v>
      </c>
      <c r="BO138" s="1">
        <v>4.0</v>
      </c>
      <c r="BP138" s="1">
        <v>4.0</v>
      </c>
      <c r="BQ138" s="1">
        <v>3.0</v>
      </c>
      <c r="BR138" s="1">
        <v>5.0</v>
      </c>
      <c r="BS138" s="1">
        <v>5.0</v>
      </c>
      <c r="BT138" s="1">
        <v>5.0</v>
      </c>
      <c r="BU138" s="1">
        <v>4.0</v>
      </c>
      <c r="BV138" s="1">
        <v>4.0</v>
      </c>
      <c r="BW138" s="1">
        <v>4.0</v>
      </c>
      <c r="BX138" s="1">
        <v>4.0</v>
      </c>
      <c r="BY138" s="1">
        <v>4.0</v>
      </c>
      <c r="BZ138" s="1">
        <v>4.0</v>
      </c>
    </row>
    <row r="139">
      <c r="A139" s="19">
        <v>46260.61103503472</v>
      </c>
      <c r="B139" s="1" t="s">
        <v>162</v>
      </c>
      <c r="C139" s="1" t="s">
        <v>707</v>
      </c>
      <c r="D139" s="1">
        <v>2026.0</v>
      </c>
      <c r="E139" s="1" t="s">
        <v>296</v>
      </c>
      <c r="F139" s="1" t="s">
        <v>763</v>
      </c>
      <c r="G139" s="1">
        <v>4.0</v>
      </c>
      <c r="H139" s="1">
        <v>4.0</v>
      </c>
      <c r="I139" s="1">
        <v>2.0</v>
      </c>
      <c r="J139" s="1">
        <v>4.0</v>
      </c>
      <c r="K139" s="1">
        <v>4.0</v>
      </c>
      <c r="L139" s="1">
        <v>3.0</v>
      </c>
      <c r="M139" s="1">
        <v>4.0</v>
      </c>
      <c r="N139" s="1">
        <v>5.0</v>
      </c>
      <c r="O139" s="1">
        <v>4.0</v>
      </c>
      <c r="P139" s="1">
        <v>5.0</v>
      </c>
      <c r="Q139" s="1">
        <v>5.0</v>
      </c>
      <c r="R139" s="1">
        <v>5.0</v>
      </c>
      <c r="S139" s="1">
        <v>4.0</v>
      </c>
      <c r="T139" s="1">
        <v>5.0</v>
      </c>
      <c r="U139" s="1">
        <v>3.0</v>
      </c>
      <c r="V139" s="1">
        <v>5.0</v>
      </c>
      <c r="W139" s="1">
        <v>5.0</v>
      </c>
      <c r="X139" s="1">
        <v>5.0</v>
      </c>
      <c r="Y139" s="1">
        <v>5.0</v>
      </c>
      <c r="Z139" s="1">
        <v>5.0</v>
      </c>
      <c r="AA139" s="1">
        <v>5.0</v>
      </c>
      <c r="AB139" s="1">
        <v>5.0</v>
      </c>
      <c r="AC139" s="1">
        <v>5.0</v>
      </c>
      <c r="AD139" s="1">
        <v>5.0</v>
      </c>
      <c r="AE139" s="1">
        <v>5.0</v>
      </c>
      <c r="AF139" s="1">
        <v>5.0</v>
      </c>
      <c r="AG139" s="1">
        <v>5.0</v>
      </c>
      <c r="AH139" s="1">
        <v>5.0</v>
      </c>
      <c r="AI139" s="1">
        <v>5.0</v>
      </c>
      <c r="AJ139" s="1">
        <v>5.0</v>
      </c>
      <c r="AK139" s="1">
        <v>5.0</v>
      </c>
      <c r="AL139" s="1">
        <v>5.0</v>
      </c>
      <c r="AM139" s="1">
        <v>5.0</v>
      </c>
      <c r="AN139" s="1">
        <v>5.0</v>
      </c>
      <c r="AO139" s="1">
        <v>4.0</v>
      </c>
      <c r="AP139" s="1">
        <v>5.0</v>
      </c>
      <c r="AQ139" s="1">
        <v>5.0</v>
      </c>
      <c r="AR139" s="1">
        <v>5.0</v>
      </c>
      <c r="AS139" s="1">
        <v>5.0</v>
      </c>
      <c r="AT139" s="1">
        <v>5.0</v>
      </c>
      <c r="AU139" s="1">
        <v>5.0</v>
      </c>
      <c r="AV139" s="1">
        <v>5.0</v>
      </c>
      <c r="AW139" s="1">
        <v>5.0</v>
      </c>
      <c r="AX139" s="1">
        <v>5.0</v>
      </c>
      <c r="AY139" s="1">
        <v>4.0</v>
      </c>
      <c r="AZ139" s="1">
        <v>5.0</v>
      </c>
      <c r="BA139" s="1">
        <v>5.0</v>
      </c>
      <c r="BB139" s="1">
        <v>5.0</v>
      </c>
      <c r="BC139" s="1">
        <v>5.0</v>
      </c>
      <c r="BD139" s="1">
        <v>5.0</v>
      </c>
      <c r="BE139" s="1">
        <v>3.0</v>
      </c>
      <c r="BF139" s="1">
        <v>5.0</v>
      </c>
      <c r="BG139" s="1">
        <v>5.0</v>
      </c>
      <c r="BH139" s="1">
        <v>5.0</v>
      </c>
      <c r="BI139" s="1">
        <v>5.0</v>
      </c>
      <c r="BJ139" s="1">
        <v>5.0</v>
      </c>
      <c r="BK139" s="1">
        <v>5.0</v>
      </c>
      <c r="BL139" s="1">
        <v>5.0</v>
      </c>
      <c r="BM139" s="1">
        <v>5.0</v>
      </c>
      <c r="BN139" s="1">
        <v>5.0</v>
      </c>
      <c r="BO139" s="1">
        <v>5.0</v>
      </c>
      <c r="BP139" s="1">
        <v>5.0</v>
      </c>
      <c r="BQ139" s="1">
        <v>5.0</v>
      </c>
      <c r="BR139" s="1">
        <v>5.0</v>
      </c>
      <c r="BS139" s="1">
        <v>5.0</v>
      </c>
      <c r="BT139" s="1">
        <v>5.0</v>
      </c>
      <c r="BU139" s="1">
        <v>5.0</v>
      </c>
      <c r="BV139" s="1">
        <v>5.0</v>
      </c>
      <c r="BW139" s="1">
        <v>5.0</v>
      </c>
      <c r="BX139" s="1">
        <v>5.0</v>
      </c>
      <c r="BY139" s="1">
        <v>5.0</v>
      </c>
      <c r="BZ139" s="1">
        <v>4.0</v>
      </c>
    </row>
    <row r="140">
      <c r="A140" s="19">
        <v>46260.66193418982</v>
      </c>
      <c r="B140" s="1" t="s">
        <v>162</v>
      </c>
      <c r="C140" s="1" t="s">
        <v>767</v>
      </c>
      <c r="D140" s="1">
        <v>2026.0</v>
      </c>
      <c r="E140" s="1" t="s">
        <v>768</v>
      </c>
      <c r="F140" s="1" t="s">
        <v>769</v>
      </c>
      <c r="G140" s="1">
        <v>5.0</v>
      </c>
      <c r="H140" s="1">
        <v>5.0</v>
      </c>
      <c r="I140" s="1">
        <v>2.0</v>
      </c>
      <c r="J140" s="1">
        <v>4.0</v>
      </c>
      <c r="K140" s="1">
        <v>4.0</v>
      </c>
      <c r="L140" s="1">
        <v>4.0</v>
      </c>
      <c r="M140" s="1">
        <v>5.0</v>
      </c>
      <c r="N140" s="1">
        <v>4.0</v>
      </c>
      <c r="O140" s="1">
        <v>4.0</v>
      </c>
      <c r="P140" s="1">
        <v>4.0</v>
      </c>
      <c r="Q140" s="1">
        <v>3.0</v>
      </c>
      <c r="R140" s="1">
        <v>3.0</v>
      </c>
      <c r="S140" s="1">
        <v>1.0</v>
      </c>
      <c r="T140" s="1">
        <v>5.0</v>
      </c>
      <c r="U140" s="1">
        <v>1.0</v>
      </c>
      <c r="V140" s="1">
        <v>3.0</v>
      </c>
      <c r="W140" s="1">
        <v>4.0</v>
      </c>
      <c r="X140" s="1">
        <v>3.0</v>
      </c>
      <c r="Y140" s="1">
        <v>5.0</v>
      </c>
      <c r="Z140" s="1">
        <v>5.0</v>
      </c>
      <c r="AA140" s="1">
        <v>2.0</v>
      </c>
      <c r="AB140" s="1">
        <v>4.0</v>
      </c>
      <c r="AC140" s="1">
        <v>4.0</v>
      </c>
      <c r="AD140" s="1">
        <v>2.0</v>
      </c>
      <c r="AE140" s="1">
        <v>4.0</v>
      </c>
      <c r="AF140" s="1">
        <v>3.0</v>
      </c>
      <c r="AG140" s="1">
        <v>4.0</v>
      </c>
      <c r="AH140" s="1">
        <v>3.0</v>
      </c>
      <c r="AI140" s="1">
        <v>4.0</v>
      </c>
      <c r="AJ140" s="1">
        <v>4.0</v>
      </c>
      <c r="AK140" s="1">
        <v>4.0</v>
      </c>
      <c r="AL140" s="1">
        <v>4.0</v>
      </c>
      <c r="AM140" s="1">
        <v>1.0</v>
      </c>
      <c r="AN140" s="1">
        <v>4.0</v>
      </c>
      <c r="AO140" s="1">
        <v>3.0</v>
      </c>
      <c r="AP140" s="1">
        <v>4.0</v>
      </c>
      <c r="AQ140" s="1">
        <v>1.0</v>
      </c>
      <c r="AR140" s="1">
        <v>4.0</v>
      </c>
      <c r="AS140" s="1">
        <v>2.0</v>
      </c>
      <c r="AT140" s="1">
        <v>4.0</v>
      </c>
      <c r="AU140" s="1">
        <v>4.0</v>
      </c>
      <c r="AV140" s="1">
        <v>4.0</v>
      </c>
      <c r="AW140" s="1">
        <v>5.0</v>
      </c>
      <c r="AX140" s="1">
        <v>3.0</v>
      </c>
      <c r="AY140" s="1">
        <v>5.0</v>
      </c>
      <c r="AZ140" s="1">
        <v>3.0</v>
      </c>
      <c r="BA140" s="1">
        <v>4.0</v>
      </c>
      <c r="BB140" s="1">
        <v>5.0</v>
      </c>
      <c r="BC140" s="1">
        <v>4.0</v>
      </c>
      <c r="BD140" s="1">
        <v>2.0</v>
      </c>
      <c r="BE140" s="1">
        <v>1.0</v>
      </c>
      <c r="BF140" s="1">
        <v>4.0</v>
      </c>
      <c r="BG140" s="1">
        <v>4.0</v>
      </c>
      <c r="BH140" s="1">
        <v>3.0</v>
      </c>
      <c r="BI140" s="1">
        <v>2.0</v>
      </c>
      <c r="BJ140" s="1">
        <v>3.0</v>
      </c>
      <c r="BK140" s="1">
        <v>3.0</v>
      </c>
      <c r="BL140" s="1">
        <v>4.0</v>
      </c>
      <c r="BM140" s="1">
        <v>5.0</v>
      </c>
      <c r="BN140" s="1">
        <v>4.0</v>
      </c>
      <c r="BO140" s="1">
        <v>4.0</v>
      </c>
      <c r="BP140" s="1">
        <v>3.0</v>
      </c>
      <c r="BQ140" s="1">
        <v>2.0</v>
      </c>
      <c r="BR140" s="1">
        <v>4.0</v>
      </c>
      <c r="BS140" s="1">
        <v>4.0</v>
      </c>
      <c r="BT140" s="1">
        <v>2.0</v>
      </c>
      <c r="BU140" s="1">
        <v>4.0</v>
      </c>
      <c r="BV140" s="1">
        <v>5.0</v>
      </c>
      <c r="BW140" s="1">
        <v>4.0</v>
      </c>
      <c r="BX140" s="1">
        <v>4.0</v>
      </c>
      <c r="BY140" s="1">
        <v>4.0</v>
      </c>
      <c r="BZ140" s="1">
        <v>5.0</v>
      </c>
    </row>
    <row r="141">
      <c r="A141" s="19">
        <v>46260.687909687505</v>
      </c>
      <c r="B141" s="1" t="s">
        <v>162</v>
      </c>
      <c r="C141" s="1" t="s">
        <v>773</v>
      </c>
      <c r="D141" s="1">
        <v>2003.0</v>
      </c>
      <c r="E141" s="1" t="s">
        <v>245</v>
      </c>
      <c r="F141" s="1" t="s">
        <v>774</v>
      </c>
      <c r="G141" s="1">
        <v>5.0</v>
      </c>
      <c r="H141" s="1">
        <v>4.0</v>
      </c>
      <c r="I141" s="1">
        <v>5.0</v>
      </c>
      <c r="J141" s="1">
        <v>5.0</v>
      </c>
      <c r="K141" s="1">
        <v>5.0</v>
      </c>
      <c r="L141" s="1">
        <v>4.0</v>
      </c>
      <c r="M141" s="1">
        <v>5.0</v>
      </c>
      <c r="N141" s="1">
        <v>3.0</v>
      </c>
      <c r="O141" s="1">
        <v>5.0</v>
      </c>
      <c r="P141" s="1">
        <v>5.0</v>
      </c>
      <c r="Q141" s="1">
        <v>4.0</v>
      </c>
      <c r="R141" s="1">
        <v>4.0</v>
      </c>
      <c r="S141" s="1">
        <v>5.0</v>
      </c>
      <c r="T141" s="1">
        <v>4.0</v>
      </c>
      <c r="U141" s="1">
        <v>4.0</v>
      </c>
      <c r="V141" s="1">
        <v>5.0</v>
      </c>
      <c r="W141" s="1">
        <v>4.0</v>
      </c>
      <c r="X141" s="1">
        <v>4.0</v>
      </c>
      <c r="Y141" s="1">
        <v>5.0</v>
      </c>
      <c r="Z141" s="1">
        <v>5.0</v>
      </c>
      <c r="AA141" s="1">
        <v>2.0</v>
      </c>
      <c r="AB141" s="1">
        <v>4.0</v>
      </c>
      <c r="AC141" s="1">
        <v>4.0</v>
      </c>
      <c r="AD141" s="1">
        <v>4.0</v>
      </c>
      <c r="AE141" s="1">
        <v>3.0</v>
      </c>
      <c r="AF141" s="1">
        <v>3.0</v>
      </c>
      <c r="AG141" s="1">
        <v>4.0</v>
      </c>
      <c r="AH141" s="1">
        <v>5.0</v>
      </c>
      <c r="AI141" s="1">
        <v>4.0</v>
      </c>
      <c r="AJ141" s="1">
        <v>4.0</v>
      </c>
      <c r="AK141" s="1">
        <v>5.0</v>
      </c>
      <c r="AL141" s="1">
        <v>4.0</v>
      </c>
      <c r="AM141" s="1">
        <v>4.0</v>
      </c>
      <c r="AN141" s="1">
        <v>4.0</v>
      </c>
      <c r="AO141" s="1">
        <v>4.0</v>
      </c>
      <c r="AP141" s="1">
        <v>3.0</v>
      </c>
      <c r="AQ141" s="1">
        <v>4.0</v>
      </c>
      <c r="AR141" s="1">
        <v>4.0</v>
      </c>
      <c r="AS141" s="1">
        <v>4.0</v>
      </c>
      <c r="AT141" s="1">
        <v>4.0</v>
      </c>
      <c r="AU141" s="1">
        <v>5.0</v>
      </c>
      <c r="AV141" s="1">
        <v>4.0</v>
      </c>
      <c r="AW141" s="1">
        <v>4.0</v>
      </c>
      <c r="AX141" s="1">
        <v>3.0</v>
      </c>
      <c r="AY141" s="1">
        <v>4.0</v>
      </c>
      <c r="AZ141" s="1">
        <v>5.0</v>
      </c>
      <c r="BA141" s="1">
        <v>5.0</v>
      </c>
      <c r="BB141" s="1">
        <v>5.0</v>
      </c>
      <c r="BC141" s="1">
        <v>4.0</v>
      </c>
      <c r="BD141" s="1">
        <v>5.0</v>
      </c>
      <c r="BE141" s="1">
        <v>4.0</v>
      </c>
      <c r="BF141" s="1">
        <v>5.0</v>
      </c>
      <c r="BG141" s="1">
        <v>5.0</v>
      </c>
      <c r="BH141" s="1">
        <v>5.0</v>
      </c>
      <c r="BI141" s="1">
        <v>5.0</v>
      </c>
      <c r="BJ141" s="1">
        <v>3.0</v>
      </c>
      <c r="BK141" s="1">
        <v>4.0</v>
      </c>
      <c r="BL141" s="1">
        <v>4.0</v>
      </c>
      <c r="BM141" s="1">
        <v>5.0</v>
      </c>
      <c r="BN141" s="1">
        <v>4.0</v>
      </c>
      <c r="BO141" s="1">
        <v>5.0</v>
      </c>
      <c r="BP141" s="1">
        <v>4.0</v>
      </c>
      <c r="BQ141" s="1">
        <v>4.0</v>
      </c>
      <c r="BR141" s="1">
        <v>5.0</v>
      </c>
      <c r="BS141" s="1">
        <v>4.0</v>
      </c>
      <c r="BT141" s="1">
        <v>5.0</v>
      </c>
      <c r="BU141" s="1">
        <v>4.0</v>
      </c>
      <c r="BV141" s="1">
        <v>4.0</v>
      </c>
      <c r="BW141" s="1">
        <v>5.0</v>
      </c>
      <c r="BX141" s="1">
        <v>4.0</v>
      </c>
      <c r="BY141" s="1">
        <v>4.0</v>
      </c>
      <c r="BZ141" s="1">
        <v>5.0</v>
      </c>
    </row>
    <row r="142">
      <c r="A142" s="19">
        <v>46260.71571914352</v>
      </c>
      <c r="B142" s="1" t="s">
        <v>162</v>
      </c>
      <c r="C142" s="1" t="s">
        <v>720</v>
      </c>
      <c r="D142" s="1">
        <v>2026.0</v>
      </c>
      <c r="E142" s="1" t="s">
        <v>340</v>
      </c>
      <c r="F142" s="1" t="s">
        <v>778</v>
      </c>
      <c r="G142" s="1">
        <v>5.0</v>
      </c>
      <c r="H142" s="1">
        <v>4.0</v>
      </c>
      <c r="I142" s="1">
        <v>4.0</v>
      </c>
      <c r="J142" s="1">
        <v>5.0</v>
      </c>
      <c r="K142" s="1">
        <v>4.0</v>
      </c>
      <c r="L142" s="1">
        <v>4.0</v>
      </c>
      <c r="M142" s="1">
        <v>3.0</v>
      </c>
      <c r="N142" s="1">
        <v>4.0</v>
      </c>
      <c r="O142" s="1">
        <v>3.0</v>
      </c>
      <c r="P142" s="1">
        <v>5.0</v>
      </c>
      <c r="Q142" s="1">
        <v>3.0</v>
      </c>
      <c r="R142" s="1">
        <v>5.0</v>
      </c>
      <c r="S142" s="1">
        <v>5.0</v>
      </c>
      <c r="T142" s="1">
        <v>4.0</v>
      </c>
      <c r="U142" s="1">
        <v>4.0</v>
      </c>
      <c r="V142" s="1">
        <v>5.0</v>
      </c>
      <c r="W142" s="1">
        <v>4.0</v>
      </c>
      <c r="X142" s="1">
        <v>4.0</v>
      </c>
      <c r="Y142" s="1">
        <v>4.0</v>
      </c>
      <c r="Z142" s="1">
        <v>4.0</v>
      </c>
      <c r="AA142" s="1">
        <v>5.0</v>
      </c>
      <c r="AB142" s="1">
        <v>5.0</v>
      </c>
      <c r="AC142" s="1">
        <v>5.0</v>
      </c>
      <c r="AD142" s="1">
        <v>5.0</v>
      </c>
      <c r="AE142" s="1">
        <v>4.0</v>
      </c>
      <c r="AF142" s="1">
        <v>4.0</v>
      </c>
      <c r="AG142" s="1">
        <v>3.0</v>
      </c>
      <c r="AH142" s="1">
        <v>5.0</v>
      </c>
      <c r="AI142" s="1">
        <v>4.0</v>
      </c>
      <c r="AJ142" s="1">
        <v>5.0</v>
      </c>
      <c r="AK142" s="1">
        <v>5.0</v>
      </c>
      <c r="AL142" s="1">
        <v>4.0</v>
      </c>
      <c r="AM142" s="1">
        <v>5.0</v>
      </c>
      <c r="AN142" s="1">
        <v>5.0</v>
      </c>
      <c r="AO142" s="1">
        <v>4.0</v>
      </c>
      <c r="AP142" s="1">
        <v>4.0</v>
      </c>
      <c r="AQ142" s="1">
        <v>5.0</v>
      </c>
      <c r="AR142" s="1">
        <v>4.0</v>
      </c>
      <c r="AS142" s="1">
        <v>5.0</v>
      </c>
      <c r="AT142" s="1">
        <v>5.0</v>
      </c>
      <c r="AU142" s="1">
        <v>5.0</v>
      </c>
      <c r="AV142" s="1">
        <v>5.0</v>
      </c>
      <c r="AW142" s="1">
        <v>4.0</v>
      </c>
      <c r="AX142" s="1">
        <v>4.0</v>
      </c>
      <c r="AY142" s="1">
        <v>5.0</v>
      </c>
      <c r="AZ142" s="1">
        <v>5.0</v>
      </c>
      <c r="BA142" s="1">
        <v>5.0</v>
      </c>
      <c r="BB142" s="1">
        <v>5.0</v>
      </c>
      <c r="BC142" s="1">
        <v>4.0</v>
      </c>
      <c r="BD142" s="1">
        <v>4.0</v>
      </c>
      <c r="BE142" s="1">
        <v>5.0</v>
      </c>
      <c r="BF142" s="1">
        <v>5.0</v>
      </c>
      <c r="BG142" s="1">
        <v>5.0</v>
      </c>
      <c r="BH142" s="1">
        <v>5.0</v>
      </c>
      <c r="BI142" s="1">
        <v>5.0</v>
      </c>
      <c r="BJ142" s="1">
        <v>4.0</v>
      </c>
      <c r="BK142" s="1">
        <v>3.0</v>
      </c>
      <c r="BL142" s="1">
        <v>4.0</v>
      </c>
      <c r="BM142" s="1">
        <v>5.0</v>
      </c>
      <c r="BN142" s="1">
        <v>5.0</v>
      </c>
      <c r="BO142" s="1">
        <v>4.0</v>
      </c>
      <c r="BP142" s="1">
        <v>4.0</v>
      </c>
      <c r="BQ142" s="1">
        <v>5.0</v>
      </c>
      <c r="BR142" s="1">
        <v>5.0</v>
      </c>
      <c r="BS142" s="1">
        <v>5.0</v>
      </c>
      <c r="BT142" s="1">
        <v>5.0</v>
      </c>
      <c r="BU142" s="1">
        <v>4.0</v>
      </c>
      <c r="BV142" s="1">
        <v>3.0</v>
      </c>
      <c r="BW142" s="1">
        <v>5.0</v>
      </c>
      <c r="BX142" s="1">
        <v>5.0</v>
      </c>
      <c r="BY142" s="1">
        <v>4.0</v>
      </c>
      <c r="BZ142" s="1">
        <v>5.0</v>
      </c>
    </row>
    <row r="143">
      <c r="A143" s="19">
        <v>46260.72301008102</v>
      </c>
      <c r="B143" s="1" t="s">
        <v>162</v>
      </c>
      <c r="C143" s="1" t="s">
        <v>782</v>
      </c>
      <c r="D143" s="1">
        <v>2026.0</v>
      </c>
      <c r="E143" s="1" t="s">
        <v>356</v>
      </c>
      <c r="F143" s="1" t="s">
        <v>783</v>
      </c>
      <c r="G143" s="1">
        <v>4.0</v>
      </c>
      <c r="H143" s="1">
        <v>4.0</v>
      </c>
      <c r="I143" s="1">
        <v>2.0</v>
      </c>
      <c r="J143" s="1">
        <v>3.0</v>
      </c>
      <c r="K143" s="1">
        <v>3.0</v>
      </c>
      <c r="L143" s="1">
        <v>3.0</v>
      </c>
      <c r="M143" s="1">
        <v>4.0</v>
      </c>
      <c r="N143" s="1">
        <v>3.0</v>
      </c>
      <c r="O143" s="1">
        <v>4.0</v>
      </c>
      <c r="P143" s="1">
        <v>3.0</v>
      </c>
      <c r="Q143" s="1">
        <v>3.0</v>
      </c>
      <c r="R143" s="1">
        <v>3.0</v>
      </c>
      <c r="S143" s="1">
        <v>3.0</v>
      </c>
      <c r="T143" s="1">
        <v>3.0</v>
      </c>
      <c r="U143" s="1">
        <v>2.0</v>
      </c>
      <c r="V143" s="1">
        <v>4.0</v>
      </c>
      <c r="W143" s="1">
        <v>3.0</v>
      </c>
      <c r="X143" s="1">
        <v>3.0</v>
      </c>
      <c r="Y143" s="1">
        <v>3.0</v>
      </c>
      <c r="Z143" s="1">
        <v>4.0</v>
      </c>
      <c r="AA143" s="1">
        <v>4.0</v>
      </c>
      <c r="AB143" s="1">
        <v>4.0</v>
      </c>
      <c r="AC143" s="1">
        <v>3.0</v>
      </c>
      <c r="AD143" s="1">
        <v>3.0</v>
      </c>
      <c r="AE143" s="1">
        <v>3.0</v>
      </c>
      <c r="AF143" s="1">
        <v>3.0</v>
      </c>
      <c r="AG143" s="1">
        <v>4.0</v>
      </c>
      <c r="AH143" s="1">
        <v>4.0</v>
      </c>
      <c r="AI143" s="1">
        <v>3.0</v>
      </c>
      <c r="AJ143" s="1">
        <v>3.0</v>
      </c>
      <c r="AK143" s="1">
        <v>3.0</v>
      </c>
      <c r="AL143" s="1">
        <v>3.0</v>
      </c>
      <c r="AM143" s="1">
        <v>2.0</v>
      </c>
      <c r="AN143" s="1">
        <v>3.0</v>
      </c>
      <c r="AO143" s="1">
        <v>3.0</v>
      </c>
      <c r="AP143" s="1">
        <v>3.0</v>
      </c>
      <c r="AQ143" s="1">
        <v>3.0</v>
      </c>
      <c r="AR143" s="1">
        <v>3.0</v>
      </c>
      <c r="AS143" s="1">
        <v>4.0</v>
      </c>
      <c r="AT143" s="1">
        <v>4.0</v>
      </c>
      <c r="AU143" s="1">
        <v>4.0</v>
      </c>
      <c r="AV143" s="1">
        <v>4.0</v>
      </c>
      <c r="AW143" s="1">
        <v>4.0</v>
      </c>
      <c r="AX143" s="1">
        <v>3.0</v>
      </c>
      <c r="AY143" s="1">
        <v>4.0</v>
      </c>
      <c r="AZ143" s="1">
        <v>4.0</v>
      </c>
      <c r="BA143" s="1">
        <v>4.0</v>
      </c>
      <c r="BB143" s="1">
        <v>4.0</v>
      </c>
      <c r="BC143" s="1">
        <v>3.0</v>
      </c>
      <c r="BD143" s="1">
        <v>4.0</v>
      </c>
      <c r="BE143" s="1">
        <v>2.0</v>
      </c>
      <c r="BF143" s="1">
        <v>4.0</v>
      </c>
      <c r="BG143" s="1">
        <v>3.0</v>
      </c>
      <c r="BH143" s="1">
        <v>4.0</v>
      </c>
      <c r="BI143" s="1">
        <v>4.0</v>
      </c>
      <c r="BJ143" s="1">
        <v>4.0</v>
      </c>
      <c r="BK143" s="1">
        <v>4.0</v>
      </c>
      <c r="BL143" s="1">
        <v>3.0</v>
      </c>
      <c r="BM143" s="1">
        <v>4.0</v>
      </c>
      <c r="BN143" s="1">
        <v>4.0</v>
      </c>
      <c r="BO143" s="1">
        <v>4.0</v>
      </c>
      <c r="BP143" s="1">
        <v>3.0</v>
      </c>
      <c r="BQ143" s="1">
        <v>3.0</v>
      </c>
      <c r="BR143" s="1">
        <v>4.0</v>
      </c>
      <c r="BS143" s="1">
        <v>4.0</v>
      </c>
      <c r="BT143" s="1">
        <v>4.0</v>
      </c>
      <c r="BU143" s="1">
        <v>3.0</v>
      </c>
      <c r="BV143" s="1">
        <v>3.0</v>
      </c>
      <c r="BW143" s="1">
        <v>3.0</v>
      </c>
      <c r="BX143" s="1">
        <v>4.0</v>
      </c>
      <c r="BY143" s="1">
        <v>3.0</v>
      </c>
      <c r="BZ143" s="1">
        <v>4.0</v>
      </c>
    </row>
    <row r="144">
      <c r="A144" s="19">
        <v>46260.78937828704</v>
      </c>
      <c r="B144" s="1" t="s">
        <v>162</v>
      </c>
      <c r="C144" s="1" t="s">
        <v>787</v>
      </c>
      <c r="D144" s="1">
        <v>2008.0</v>
      </c>
      <c r="E144" s="1" t="s">
        <v>788</v>
      </c>
      <c r="F144" s="1" t="s">
        <v>789</v>
      </c>
      <c r="G144" s="1">
        <v>5.0</v>
      </c>
      <c r="H144" s="1">
        <v>4.0</v>
      </c>
      <c r="I144" s="1">
        <v>3.0</v>
      </c>
      <c r="J144" s="1">
        <v>5.0</v>
      </c>
      <c r="K144" s="1">
        <v>5.0</v>
      </c>
      <c r="L144" s="1">
        <v>5.0</v>
      </c>
      <c r="M144" s="1">
        <v>3.0</v>
      </c>
      <c r="N144" s="1">
        <v>5.0</v>
      </c>
      <c r="O144" s="1">
        <v>5.0</v>
      </c>
      <c r="P144" s="1">
        <v>5.0</v>
      </c>
      <c r="Q144" s="1">
        <v>5.0</v>
      </c>
      <c r="R144" s="1">
        <v>5.0</v>
      </c>
      <c r="S144" s="1">
        <v>4.0</v>
      </c>
      <c r="T144" s="1">
        <v>5.0</v>
      </c>
      <c r="U144" s="1">
        <v>3.0</v>
      </c>
      <c r="V144" s="1">
        <v>5.0</v>
      </c>
      <c r="W144" s="1">
        <v>5.0</v>
      </c>
      <c r="X144" s="1">
        <v>3.0</v>
      </c>
      <c r="Y144" s="1">
        <v>4.0</v>
      </c>
      <c r="Z144" s="1">
        <v>4.0</v>
      </c>
      <c r="AA144" s="1">
        <v>4.0</v>
      </c>
      <c r="AB144" s="1">
        <v>5.0</v>
      </c>
      <c r="AC144" s="1">
        <v>5.0</v>
      </c>
      <c r="AD144" s="1">
        <v>5.0</v>
      </c>
      <c r="AE144" s="1">
        <v>3.0</v>
      </c>
      <c r="AF144" s="1">
        <v>5.0</v>
      </c>
      <c r="AG144" s="1">
        <v>5.0</v>
      </c>
      <c r="AH144" s="1">
        <v>5.0</v>
      </c>
      <c r="AI144" s="1">
        <v>5.0</v>
      </c>
      <c r="AJ144" s="1">
        <v>5.0</v>
      </c>
      <c r="AK144" s="1">
        <v>4.0</v>
      </c>
      <c r="AL144" s="1">
        <v>5.0</v>
      </c>
      <c r="AM144" s="1">
        <v>3.0</v>
      </c>
      <c r="AN144" s="1">
        <v>5.0</v>
      </c>
      <c r="AO144" s="1">
        <v>5.0</v>
      </c>
      <c r="AP144" s="1">
        <v>5.0</v>
      </c>
      <c r="AQ144" s="1">
        <v>4.0</v>
      </c>
      <c r="AR144" s="1">
        <v>5.0</v>
      </c>
      <c r="AS144" s="1">
        <v>2.0</v>
      </c>
      <c r="AT144" s="1">
        <v>5.0</v>
      </c>
      <c r="AU144" s="1">
        <v>5.0</v>
      </c>
      <c r="AV144" s="1">
        <v>5.0</v>
      </c>
      <c r="AW144" s="1">
        <v>3.0</v>
      </c>
      <c r="AX144" s="1">
        <v>4.0</v>
      </c>
      <c r="AY144" s="1">
        <v>1.0</v>
      </c>
      <c r="AZ144" s="1">
        <v>5.0</v>
      </c>
      <c r="BA144" s="1">
        <v>5.0</v>
      </c>
      <c r="BB144" s="1">
        <v>5.0</v>
      </c>
      <c r="BC144" s="1">
        <v>5.0</v>
      </c>
      <c r="BD144" s="1">
        <v>4.0</v>
      </c>
      <c r="BE144" s="1">
        <v>3.0</v>
      </c>
      <c r="BF144" s="1">
        <v>5.0</v>
      </c>
      <c r="BG144" s="1">
        <v>5.0</v>
      </c>
      <c r="BH144" s="1">
        <v>5.0</v>
      </c>
      <c r="BI144" s="1">
        <v>5.0</v>
      </c>
      <c r="BJ144" s="1">
        <v>5.0</v>
      </c>
      <c r="BK144" s="1">
        <v>5.0</v>
      </c>
      <c r="BL144" s="1">
        <v>5.0</v>
      </c>
      <c r="BM144" s="1">
        <v>5.0</v>
      </c>
      <c r="BN144" s="1">
        <v>5.0</v>
      </c>
      <c r="BO144" s="1">
        <v>5.0</v>
      </c>
      <c r="BP144" s="1">
        <v>5.0</v>
      </c>
      <c r="BQ144" s="1">
        <v>5.0</v>
      </c>
      <c r="BR144" s="1">
        <v>5.0</v>
      </c>
      <c r="BS144" s="1">
        <v>5.0</v>
      </c>
      <c r="BT144" s="1">
        <v>5.0</v>
      </c>
      <c r="BU144" s="1">
        <v>5.0</v>
      </c>
      <c r="BV144" s="1">
        <v>5.0</v>
      </c>
      <c r="BW144" s="1">
        <v>5.0</v>
      </c>
      <c r="BX144" s="1">
        <v>5.0</v>
      </c>
      <c r="BY144" s="1">
        <v>5.0</v>
      </c>
      <c r="BZ144" s="1">
        <v>5.0</v>
      </c>
    </row>
    <row r="145">
      <c r="A145" s="19">
        <v>46260.79870605324</v>
      </c>
      <c r="B145" s="1" t="s">
        <v>162</v>
      </c>
      <c r="C145" s="1" t="s">
        <v>787</v>
      </c>
      <c r="D145" s="1">
        <v>2008.0</v>
      </c>
      <c r="E145" s="1" t="s">
        <v>793</v>
      </c>
      <c r="F145" s="1" t="s">
        <v>794</v>
      </c>
      <c r="G145" s="1">
        <v>3.0</v>
      </c>
      <c r="H145" s="1">
        <v>4.0</v>
      </c>
      <c r="I145" s="1">
        <v>3.0</v>
      </c>
      <c r="J145" s="1">
        <v>5.0</v>
      </c>
      <c r="K145" s="1">
        <v>5.0</v>
      </c>
      <c r="L145" s="1">
        <v>5.0</v>
      </c>
      <c r="M145" s="1">
        <v>4.0</v>
      </c>
      <c r="N145" s="1">
        <v>5.0</v>
      </c>
      <c r="O145" s="1">
        <v>5.0</v>
      </c>
      <c r="P145" s="1">
        <v>5.0</v>
      </c>
      <c r="Q145" s="1">
        <v>5.0</v>
      </c>
      <c r="R145" s="1">
        <v>5.0</v>
      </c>
      <c r="S145" s="1">
        <v>4.0</v>
      </c>
      <c r="T145" s="1">
        <v>5.0</v>
      </c>
      <c r="U145" s="1">
        <v>3.0</v>
      </c>
      <c r="V145" s="1">
        <v>5.0</v>
      </c>
      <c r="W145" s="1">
        <v>5.0</v>
      </c>
      <c r="X145" s="1">
        <v>4.0</v>
      </c>
      <c r="Y145" s="1">
        <v>4.0</v>
      </c>
      <c r="Z145" s="1">
        <v>3.0</v>
      </c>
      <c r="AA145" s="1">
        <v>3.0</v>
      </c>
      <c r="AB145" s="1">
        <v>5.0</v>
      </c>
      <c r="AC145" s="1">
        <v>4.0</v>
      </c>
      <c r="AD145" s="1">
        <v>5.0</v>
      </c>
      <c r="AE145" s="1">
        <v>3.0</v>
      </c>
      <c r="AF145" s="1">
        <v>5.0</v>
      </c>
      <c r="AG145" s="1">
        <v>5.0</v>
      </c>
      <c r="AH145" s="1">
        <v>5.0</v>
      </c>
      <c r="AI145" s="1">
        <v>5.0</v>
      </c>
      <c r="AJ145" s="1">
        <v>5.0</v>
      </c>
      <c r="AK145" s="1">
        <v>4.0</v>
      </c>
      <c r="AL145" s="1">
        <v>5.0</v>
      </c>
      <c r="AM145" s="1">
        <v>3.0</v>
      </c>
      <c r="AN145" s="1">
        <v>5.0</v>
      </c>
      <c r="AO145" s="1">
        <v>5.0</v>
      </c>
      <c r="AP145" s="1">
        <v>5.0</v>
      </c>
      <c r="AQ145" s="1">
        <v>3.0</v>
      </c>
      <c r="AR145" s="1">
        <v>5.0</v>
      </c>
      <c r="AS145" s="1">
        <v>5.0</v>
      </c>
      <c r="AT145" s="1">
        <v>5.0</v>
      </c>
      <c r="AU145" s="1">
        <v>5.0</v>
      </c>
      <c r="AV145" s="1">
        <v>5.0</v>
      </c>
      <c r="AW145" s="1">
        <v>4.0</v>
      </c>
      <c r="AX145" s="1">
        <v>5.0</v>
      </c>
      <c r="AY145" s="1">
        <v>5.0</v>
      </c>
      <c r="AZ145" s="1">
        <v>5.0</v>
      </c>
      <c r="BA145" s="1">
        <v>5.0</v>
      </c>
      <c r="BB145" s="1">
        <v>5.0</v>
      </c>
      <c r="BC145" s="1">
        <v>5.0</v>
      </c>
      <c r="BD145" s="1">
        <v>5.0</v>
      </c>
      <c r="BE145" s="1">
        <v>3.0</v>
      </c>
      <c r="BF145" s="1">
        <v>5.0</v>
      </c>
      <c r="BG145" s="1">
        <v>5.0</v>
      </c>
      <c r="BH145" s="1">
        <v>5.0</v>
      </c>
      <c r="BI145" s="1">
        <v>4.0</v>
      </c>
      <c r="BJ145" s="1">
        <v>5.0</v>
      </c>
      <c r="BK145" s="1">
        <v>5.0</v>
      </c>
      <c r="BL145" s="1">
        <v>5.0</v>
      </c>
      <c r="BM145" s="1">
        <v>5.0</v>
      </c>
      <c r="BN145" s="1">
        <v>5.0</v>
      </c>
      <c r="BO145" s="1">
        <v>5.0</v>
      </c>
      <c r="BP145" s="1">
        <v>5.0</v>
      </c>
      <c r="BQ145" s="1">
        <v>5.0</v>
      </c>
      <c r="BR145" s="1">
        <v>5.0</v>
      </c>
      <c r="BS145" s="1">
        <v>5.0</v>
      </c>
      <c r="BT145" s="1">
        <v>5.0</v>
      </c>
      <c r="BU145" s="1">
        <v>5.0</v>
      </c>
      <c r="BV145" s="1">
        <v>5.0</v>
      </c>
      <c r="BW145" s="1">
        <v>5.0</v>
      </c>
      <c r="BX145" s="1">
        <v>5.0</v>
      </c>
      <c r="BY145" s="1">
        <v>5.0</v>
      </c>
      <c r="BZ145" s="1">
        <v>5.0</v>
      </c>
    </row>
    <row r="146">
      <c r="A146" s="19">
        <v>46261.62131751157</v>
      </c>
      <c r="B146" s="1" t="s">
        <v>162</v>
      </c>
      <c r="C146" s="1" t="s">
        <v>751</v>
      </c>
      <c r="D146" s="1">
        <v>2026.0</v>
      </c>
      <c r="E146" s="1" t="s">
        <v>365</v>
      </c>
      <c r="F146" s="1" t="s">
        <v>798</v>
      </c>
      <c r="G146" s="1">
        <v>5.0</v>
      </c>
      <c r="H146" s="1">
        <v>5.0</v>
      </c>
      <c r="I146" s="1">
        <v>3.0</v>
      </c>
      <c r="J146" s="1">
        <v>5.0</v>
      </c>
      <c r="K146" s="1">
        <v>5.0</v>
      </c>
      <c r="L146" s="1">
        <v>4.0</v>
      </c>
      <c r="M146" s="1">
        <v>4.0</v>
      </c>
      <c r="N146" s="1">
        <v>4.0</v>
      </c>
      <c r="O146" s="1">
        <v>4.0</v>
      </c>
      <c r="P146" s="1">
        <v>4.0</v>
      </c>
      <c r="Q146" s="1">
        <v>4.0</v>
      </c>
      <c r="R146" s="1">
        <v>4.0</v>
      </c>
      <c r="S146" s="1">
        <v>4.0</v>
      </c>
      <c r="T146" s="1">
        <v>3.0</v>
      </c>
      <c r="U146" s="1">
        <v>3.0</v>
      </c>
      <c r="V146" s="1">
        <v>4.0</v>
      </c>
      <c r="W146" s="1">
        <v>4.0</v>
      </c>
      <c r="X146" s="1">
        <v>4.0</v>
      </c>
      <c r="Y146" s="1">
        <v>4.0</v>
      </c>
      <c r="Z146" s="1">
        <v>4.0</v>
      </c>
      <c r="AA146" s="1">
        <v>3.0</v>
      </c>
      <c r="AB146" s="1">
        <v>5.0</v>
      </c>
      <c r="AC146" s="1">
        <v>4.0</v>
      </c>
      <c r="AD146" s="1">
        <v>4.0</v>
      </c>
      <c r="AE146" s="1">
        <v>3.0</v>
      </c>
      <c r="AF146" s="1">
        <v>4.0</v>
      </c>
      <c r="AG146" s="1">
        <v>4.0</v>
      </c>
      <c r="AH146" s="1">
        <v>5.0</v>
      </c>
      <c r="AI146" s="1">
        <v>4.0</v>
      </c>
      <c r="AJ146" s="1">
        <v>4.0</v>
      </c>
      <c r="AK146" s="1">
        <v>4.0</v>
      </c>
      <c r="AL146" s="1">
        <v>4.0</v>
      </c>
      <c r="AM146" s="1">
        <v>3.0</v>
      </c>
      <c r="AN146" s="1">
        <v>4.0</v>
      </c>
      <c r="AO146" s="1">
        <v>4.0</v>
      </c>
      <c r="AP146" s="1">
        <v>3.0</v>
      </c>
      <c r="AQ146" s="1">
        <v>4.0</v>
      </c>
      <c r="AR146" s="1">
        <v>5.0</v>
      </c>
      <c r="AS146" s="1">
        <v>4.0</v>
      </c>
      <c r="AT146" s="1">
        <v>5.0</v>
      </c>
      <c r="AU146" s="1">
        <v>5.0</v>
      </c>
      <c r="AV146" s="1">
        <v>5.0</v>
      </c>
      <c r="AW146" s="1">
        <v>3.0</v>
      </c>
      <c r="AX146" s="1">
        <v>4.0</v>
      </c>
      <c r="AY146" s="1">
        <v>4.0</v>
      </c>
      <c r="AZ146" s="1">
        <v>5.0</v>
      </c>
      <c r="BA146" s="1">
        <v>4.0</v>
      </c>
      <c r="BB146" s="1">
        <v>5.0</v>
      </c>
      <c r="BC146" s="1">
        <v>4.0</v>
      </c>
      <c r="BD146" s="1">
        <v>5.0</v>
      </c>
      <c r="BE146" s="1">
        <v>3.0</v>
      </c>
      <c r="BF146" s="1">
        <v>5.0</v>
      </c>
      <c r="BG146" s="1">
        <v>5.0</v>
      </c>
      <c r="BH146" s="1">
        <v>4.0</v>
      </c>
      <c r="BI146" s="1">
        <v>5.0</v>
      </c>
      <c r="BJ146" s="1">
        <v>4.0</v>
      </c>
      <c r="BK146" s="1">
        <v>4.0</v>
      </c>
      <c r="BL146" s="1">
        <v>3.0</v>
      </c>
      <c r="BM146" s="1">
        <v>4.0</v>
      </c>
      <c r="BN146" s="1">
        <v>4.0</v>
      </c>
      <c r="BO146" s="1">
        <v>4.0</v>
      </c>
      <c r="BP146" s="1">
        <v>3.0</v>
      </c>
      <c r="BQ146" s="1">
        <v>4.0</v>
      </c>
      <c r="BR146" s="1">
        <v>4.0</v>
      </c>
      <c r="BS146" s="1">
        <v>3.0</v>
      </c>
      <c r="BT146" s="1">
        <v>5.0</v>
      </c>
      <c r="BU146" s="1">
        <v>4.0</v>
      </c>
      <c r="BV146" s="1">
        <v>3.0</v>
      </c>
      <c r="BW146" s="1">
        <v>4.0</v>
      </c>
      <c r="BX146" s="1">
        <v>4.0</v>
      </c>
      <c r="BY146" s="1">
        <v>4.0</v>
      </c>
      <c r="BZ146" s="1">
        <v>5.0</v>
      </c>
    </row>
    <row r="147">
      <c r="A147" s="19">
        <v>46261.62231391204</v>
      </c>
      <c r="B147" s="1" t="s">
        <v>162</v>
      </c>
      <c r="C147" s="1" t="s">
        <v>802</v>
      </c>
      <c r="D147" s="1">
        <v>2026.0</v>
      </c>
      <c r="E147" s="1" t="s">
        <v>340</v>
      </c>
      <c r="F147" s="1" t="s">
        <v>713</v>
      </c>
      <c r="G147" s="1">
        <v>3.0</v>
      </c>
      <c r="H147" s="1">
        <v>3.0</v>
      </c>
      <c r="I147" s="1">
        <v>4.0</v>
      </c>
      <c r="J147" s="1">
        <v>5.0</v>
      </c>
      <c r="K147" s="1">
        <v>4.0</v>
      </c>
      <c r="L147" s="1">
        <v>3.0</v>
      </c>
      <c r="M147" s="1">
        <v>4.0</v>
      </c>
      <c r="N147" s="1">
        <v>4.0</v>
      </c>
      <c r="O147" s="1">
        <v>5.0</v>
      </c>
      <c r="P147" s="1">
        <v>3.0</v>
      </c>
      <c r="Q147" s="1">
        <v>4.0</v>
      </c>
      <c r="R147" s="1">
        <v>3.0</v>
      </c>
      <c r="S147" s="1">
        <v>2.0</v>
      </c>
      <c r="T147" s="1">
        <v>3.0</v>
      </c>
      <c r="U147" s="1">
        <v>5.0</v>
      </c>
      <c r="V147" s="1">
        <v>5.0</v>
      </c>
      <c r="W147" s="1">
        <v>3.0</v>
      </c>
      <c r="X147" s="1">
        <v>3.0</v>
      </c>
      <c r="Y147" s="1">
        <v>3.0</v>
      </c>
      <c r="Z147" s="1">
        <v>3.0</v>
      </c>
      <c r="AA147" s="1">
        <v>5.0</v>
      </c>
      <c r="AB147" s="1">
        <v>5.0</v>
      </c>
      <c r="AC147" s="1">
        <v>5.0</v>
      </c>
      <c r="AD147" s="1">
        <v>4.0</v>
      </c>
      <c r="AE147" s="1">
        <v>2.0</v>
      </c>
      <c r="AF147" s="1">
        <v>2.0</v>
      </c>
      <c r="AG147" s="1">
        <v>5.0</v>
      </c>
      <c r="AH147" s="1">
        <v>5.0</v>
      </c>
      <c r="AI147" s="1">
        <v>4.0</v>
      </c>
      <c r="AJ147" s="1">
        <v>2.0</v>
      </c>
      <c r="AK147" s="1">
        <v>3.0</v>
      </c>
      <c r="AL147" s="1">
        <v>4.0</v>
      </c>
      <c r="AM147" s="1">
        <v>5.0</v>
      </c>
      <c r="AN147" s="1">
        <v>5.0</v>
      </c>
      <c r="AO147" s="1">
        <v>2.0</v>
      </c>
      <c r="AP147" s="1">
        <v>3.0</v>
      </c>
      <c r="AQ147" s="1">
        <v>3.0</v>
      </c>
      <c r="AR147" s="1">
        <v>3.0</v>
      </c>
      <c r="AS147" s="1">
        <v>5.0</v>
      </c>
      <c r="AT147" s="1">
        <v>5.0</v>
      </c>
      <c r="AU147" s="1">
        <v>3.0</v>
      </c>
      <c r="AV147" s="1">
        <v>2.0</v>
      </c>
      <c r="AW147" s="1">
        <v>3.0</v>
      </c>
      <c r="AX147" s="1">
        <v>3.0</v>
      </c>
      <c r="AY147" s="1">
        <v>5.0</v>
      </c>
      <c r="AZ147" s="1">
        <v>5.0</v>
      </c>
      <c r="BA147" s="1">
        <v>3.0</v>
      </c>
      <c r="BB147" s="1">
        <v>3.0</v>
      </c>
      <c r="BC147" s="1">
        <v>4.0</v>
      </c>
      <c r="BD147" s="1">
        <v>2.0</v>
      </c>
      <c r="BE147" s="1">
        <v>4.0</v>
      </c>
      <c r="BF147" s="1">
        <v>5.0</v>
      </c>
      <c r="BG147" s="1">
        <v>4.0</v>
      </c>
      <c r="BH147" s="1">
        <v>2.0</v>
      </c>
      <c r="BI147" s="1">
        <v>4.0</v>
      </c>
      <c r="BJ147" s="1">
        <v>5.0</v>
      </c>
      <c r="BK147" s="1">
        <v>5.0</v>
      </c>
      <c r="BL147" s="1">
        <v>5.0</v>
      </c>
      <c r="BM147" s="1">
        <v>4.0</v>
      </c>
      <c r="BN147" s="1">
        <v>2.0</v>
      </c>
      <c r="BO147" s="1">
        <v>3.0</v>
      </c>
      <c r="BP147" s="1">
        <v>3.0</v>
      </c>
      <c r="BQ147" s="1">
        <v>3.0</v>
      </c>
      <c r="BR147" s="1">
        <v>5.0</v>
      </c>
      <c r="BS147" s="1">
        <v>5.0</v>
      </c>
      <c r="BT147" s="1">
        <v>4.0</v>
      </c>
      <c r="BU147" s="1">
        <v>3.0</v>
      </c>
      <c r="BV147" s="1">
        <v>4.0</v>
      </c>
      <c r="BW147" s="1">
        <v>4.0</v>
      </c>
      <c r="BX147" s="1">
        <v>5.0</v>
      </c>
      <c r="BY147" s="1">
        <v>4.0</v>
      </c>
      <c r="BZ147" s="1">
        <v>5.0</v>
      </c>
    </row>
    <row r="148">
      <c r="A148" s="19">
        <v>46262.4998740625</v>
      </c>
      <c r="B148" s="1" t="s">
        <v>162</v>
      </c>
      <c r="C148" s="1" t="s">
        <v>806</v>
      </c>
      <c r="D148" s="1">
        <v>2020.0</v>
      </c>
      <c r="E148" s="1" t="s">
        <v>374</v>
      </c>
      <c r="F148" s="1" t="s">
        <v>807</v>
      </c>
      <c r="G148" s="1">
        <v>5.0</v>
      </c>
      <c r="H148" s="1">
        <v>5.0</v>
      </c>
      <c r="I148" s="1">
        <v>3.0</v>
      </c>
      <c r="J148" s="1">
        <v>5.0</v>
      </c>
      <c r="K148" s="1">
        <v>5.0</v>
      </c>
      <c r="L148" s="1">
        <v>2.0</v>
      </c>
      <c r="M148" s="1">
        <v>5.0</v>
      </c>
      <c r="N148" s="1">
        <v>3.0</v>
      </c>
      <c r="O148" s="1">
        <v>5.0</v>
      </c>
      <c r="P148" s="1">
        <v>4.0</v>
      </c>
      <c r="Q148" s="1">
        <v>5.0</v>
      </c>
      <c r="R148" s="1">
        <v>5.0</v>
      </c>
      <c r="S148" s="1">
        <v>5.0</v>
      </c>
      <c r="T148" s="1">
        <v>3.0</v>
      </c>
      <c r="U148" s="1">
        <v>3.0</v>
      </c>
      <c r="V148" s="1">
        <v>4.0</v>
      </c>
      <c r="W148" s="1">
        <v>4.0</v>
      </c>
      <c r="X148" s="1">
        <v>4.0</v>
      </c>
      <c r="Y148" s="1">
        <v>5.0</v>
      </c>
      <c r="Z148" s="1">
        <v>5.0</v>
      </c>
      <c r="AA148" s="1">
        <v>5.0</v>
      </c>
      <c r="AB148" s="1">
        <v>5.0</v>
      </c>
      <c r="AC148" s="1">
        <v>3.0</v>
      </c>
      <c r="AD148" s="1">
        <v>3.0</v>
      </c>
      <c r="AE148" s="1">
        <v>4.0</v>
      </c>
      <c r="AF148" s="1">
        <v>5.0</v>
      </c>
      <c r="AG148" s="1">
        <v>4.0</v>
      </c>
      <c r="AH148" s="1">
        <v>5.0</v>
      </c>
      <c r="AI148" s="1">
        <v>3.0</v>
      </c>
      <c r="AJ148" s="1">
        <v>5.0</v>
      </c>
      <c r="AK148" s="1">
        <v>5.0</v>
      </c>
      <c r="AL148" s="1">
        <v>5.0</v>
      </c>
      <c r="AM148" s="1">
        <v>3.0</v>
      </c>
      <c r="AN148" s="1">
        <v>5.0</v>
      </c>
      <c r="AO148" s="1">
        <v>3.0</v>
      </c>
      <c r="AP148" s="1">
        <v>3.0</v>
      </c>
      <c r="AQ148" s="1">
        <v>5.0</v>
      </c>
      <c r="AR148" s="1">
        <v>5.0</v>
      </c>
      <c r="AS148" s="1">
        <v>3.0</v>
      </c>
      <c r="AT148" s="1">
        <v>4.0</v>
      </c>
      <c r="AU148" s="1">
        <v>5.0</v>
      </c>
      <c r="AV148" s="1">
        <v>4.0</v>
      </c>
      <c r="AW148" s="1">
        <v>5.0</v>
      </c>
      <c r="AX148" s="1">
        <v>3.0</v>
      </c>
      <c r="AY148" s="1">
        <v>5.0</v>
      </c>
      <c r="AZ148" s="1">
        <v>5.0</v>
      </c>
      <c r="BA148" s="1">
        <v>4.0</v>
      </c>
      <c r="BB148" s="1">
        <v>5.0</v>
      </c>
      <c r="BC148" s="1">
        <v>4.0</v>
      </c>
      <c r="BD148" s="1">
        <v>4.0</v>
      </c>
      <c r="BE148" s="1">
        <v>3.0</v>
      </c>
      <c r="BF148" s="1">
        <v>4.0</v>
      </c>
      <c r="BG148" s="1">
        <v>5.0</v>
      </c>
      <c r="BH148" s="1">
        <v>5.0</v>
      </c>
      <c r="BI148" s="1">
        <v>5.0</v>
      </c>
      <c r="BJ148" s="1">
        <v>4.0</v>
      </c>
      <c r="BK148" s="1">
        <v>5.0</v>
      </c>
      <c r="BL148" s="1">
        <v>3.0</v>
      </c>
      <c r="BM148" s="1">
        <v>5.0</v>
      </c>
      <c r="BN148" s="1">
        <v>5.0</v>
      </c>
      <c r="BO148" s="1">
        <v>5.0</v>
      </c>
      <c r="BP148" s="1">
        <v>4.0</v>
      </c>
      <c r="BQ148" s="1">
        <v>4.0</v>
      </c>
      <c r="BR148" s="1">
        <v>4.0</v>
      </c>
      <c r="BS148" s="1">
        <v>5.0</v>
      </c>
      <c r="BT148" s="1">
        <v>5.0</v>
      </c>
      <c r="BU148" s="1">
        <v>3.0</v>
      </c>
      <c r="BV148" s="1">
        <v>4.0</v>
      </c>
      <c r="BW148" s="1">
        <v>4.0</v>
      </c>
      <c r="BX148" s="1">
        <v>4.0</v>
      </c>
      <c r="BY148" s="1">
        <v>4.0</v>
      </c>
      <c r="BZ148" s="1">
        <v>5.0</v>
      </c>
    </row>
    <row r="149">
      <c r="A149" s="19">
        <v>46262.52158804398</v>
      </c>
      <c r="B149" s="1" t="s">
        <v>162</v>
      </c>
      <c r="C149" s="1" t="s">
        <v>811</v>
      </c>
      <c r="D149" s="1">
        <v>2008.0</v>
      </c>
      <c r="E149" s="1" t="s">
        <v>365</v>
      </c>
      <c r="F149" s="1" t="s">
        <v>812</v>
      </c>
      <c r="G149" s="1">
        <v>2.0</v>
      </c>
      <c r="H149" s="1">
        <v>3.0</v>
      </c>
      <c r="I149" s="1">
        <v>3.0</v>
      </c>
      <c r="J149" s="1">
        <v>2.0</v>
      </c>
      <c r="K149" s="1">
        <v>2.0</v>
      </c>
      <c r="L149" s="1">
        <v>3.0</v>
      </c>
      <c r="M149" s="1">
        <v>3.0</v>
      </c>
      <c r="N149" s="1">
        <v>4.0</v>
      </c>
      <c r="O149" s="1">
        <v>4.0</v>
      </c>
      <c r="P149" s="1">
        <v>2.0</v>
      </c>
      <c r="Q149" s="1">
        <v>1.0</v>
      </c>
      <c r="R149" s="1">
        <v>2.0</v>
      </c>
      <c r="S149" s="1">
        <v>2.0</v>
      </c>
      <c r="T149" s="1">
        <v>3.0</v>
      </c>
      <c r="U149" s="1">
        <v>4.0</v>
      </c>
      <c r="V149" s="1">
        <v>3.0</v>
      </c>
      <c r="W149" s="1">
        <v>3.0</v>
      </c>
      <c r="X149" s="1">
        <v>2.0</v>
      </c>
      <c r="Y149" s="1">
        <v>3.0</v>
      </c>
      <c r="Z149" s="1">
        <v>4.0</v>
      </c>
      <c r="AA149" s="1">
        <v>4.0</v>
      </c>
      <c r="AB149" s="1">
        <v>2.0</v>
      </c>
      <c r="AC149" s="1">
        <v>3.0</v>
      </c>
      <c r="AD149" s="1">
        <v>3.0</v>
      </c>
      <c r="AE149" s="1">
        <v>2.0</v>
      </c>
      <c r="AF149" s="1">
        <v>3.0</v>
      </c>
      <c r="AG149" s="1">
        <v>4.0</v>
      </c>
      <c r="AH149" s="1">
        <v>3.0</v>
      </c>
      <c r="AI149" s="1">
        <v>4.0</v>
      </c>
      <c r="AJ149" s="1">
        <v>3.0</v>
      </c>
      <c r="AK149" s="1">
        <v>3.0</v>
      </c>
      <c r="AL149" s="1">
        <v>4.0</v>
      </c>
      <c r="AM149" s="1">
        <v>4.0</v>
      </c>
      <c r="AN149" s="1">
        <v>3.0</v>
      </c>
      <c r="AO149" s="1">
        <v>2.0</v>
      </c>
      <c r="AP149" s="1">
        <v>2.0</v>
      </c>
      <c r="AQ149" s="1">
        <v>2.0</v>
      </c>
      <c r="AR149" s="1">
        <v>2.0</v>
      </c>
      <c r="AS149" s="1">
        <v>3.0</v>
      </c>
      <c r="AT149" s="1">
        <v>3.0</v>
      </c>
      <c r="AU149" s="1">
        <v>2.0</v>
      </c>
      <c r="AV149" s="1">
        <v>3.0</v>
      </c>
      <c r="AW149" s="1">
        <v>3.0</v>
      </c>
      <c r="AX149" s="1">
        <v>2.0</v>
      </c>
      <c r="AY149" s="1">
        <v>3.0</v>
      </c>
      <c r="AZ149" s="1">
        <v>3.0</v>
      </c>
      <c r="BA149" s="1">
        <v>4.0</v>
      </c>
      <c r="BB149" s="1">
        <v>2.0</v>
      </c>
      <c r="BC149" s="1">
        <v>3.0</v>
      </c>
      <c r="BD149" s="1">
        <v>3.0</v>
      </c>
      <c r="BE149" s="1">
        <v>4.0</v>
      </c>
      <c r="BF149" s="1">
        <v>3.0</v>
      </c>
      <c r="BG149" s="1">
        <v>3.0</v>
      </c>
      <c r="BH149" s="1">
        <v>2.0</v>
      </c>
      <c r="BI149" s="1">
        <v>3.0</v>
      </c>
      <c r="BJ149" s="1">
        <v>3.0</v>
      </c>
      <c r="BK149" s="1">
        <v>4.0</v>
      </c>
      <c r="BL149" s="1">
        <v>3.0</v>
      </c>
      <c r="BM149" s="1">
        <v>3.0</v>
      </c>
      <c r="BN149" s="1">
        <v>2.0</v>
      </c>
      <c r="BO149" s="1">
        <v>3.0</v>
      </c>
      <c r="BP149" s="1">
        <v>3.0</v>
      </c>
      <c r="BQ149" s="1">
        <v>3.0</v>
      </c>
      <c r="BR149" s="1">
        <v>4.0</v>
      </c>
      <c r="BS149" s="1">
        <v>4.0</v>
      </c>
      <c r="BT149" s="1">
        <v>2.0</v>
      </c>
      <c r="BU149" s="1">
        <v>3.0</v>
      </c>
      <c r="BV149" s="1">
        <v>3.0</v>
      </c>
      <c r="BW149" s="1">
        <v>3.0</v>
      </c>
      <c r="BX149" s="1">
        <v>3.0</v>
      </c>
      <c r="BY149" s="1">
        <v>3.0</v>
      </c>
      <c r="BZ149" s="1">
        <v>3.0</v>
      </c>
    </row>
    <row r="150">
      <c r="A150" s="19">
        <v>46262.52488226852</v>
      </c>
      <c r="B150" s="1" t="s">
        <v>162</v>
      </c>
      <c r="C150" s="1" t="s">
        <v>816</v>
      </c>
      <c r="D150" s="1">
        <v>1997.0</v>
      </c>
      <c r="E150" s="1" t="s">
        <v>225</v>
      </c>
      <c r="F150" s="1" t="s">
        <v>817</v>
      </c>
      <c r="G150" s="1">
        <v>3.0</v>
      </c>
      <c r="H150" s="1">
        <v>5.0</v>
      </c>
      <c r="I150" s="1">
        <v>4.0</v>
      </c>
      <c r="J150" s="1">
        <v>5.0</v>
      </c>
      <c r="K150" s="1">
        <v>4.0</v>
      </c>
      <c r="L150" s="1">
        <v>5.0</v>
      </c>
      <c r="M150" s="1">
        <v>4.0</v>
      </c>
      <c r="N150" s="1">
        <v>4.0</v>
      </c>
      <c r="O150" s="1">
        <v>5.0</v>
      </c>
      <c r="P150" s="1">
        <v>3.0</v>
      </c>
      <c r="Q150" s="1">
        <v>3.0</v>
      </c>
      <c r="R150" s="1">
        <v>4.0</v>
      </c>
      <c r="S150" s="1">
        <v>3.0</v>
      </c>
      <c r="T150" s="1">
        <v>4.0</v>
      </c>
      <c r="U150" s="1">
        <v>2.0</v>
      </c>
      <c r="V150" s="1">
        <v>4.0</v>
      </c>
      <c r="W150" s="1">
        <v>4.0</v>
      </c>
      <c r="X150" s="1">
        <v>4.0</v>
      </c>
      <c r="Y150" s="1">
        <v>4.0</v>
      </c>
      <c r="Z150" s="1">
        <v>4.0</v>
      </c>
      <c r="AA150" s="1">
        <v>3.0</v>
      </c>
      <c r="AB150" s="1">
        <v>5.0</v>
      </c>
      <c r="AC150" s="1">
        <v>3.0</v>
      </c>
      <c r="AD150" s="1">
        <v>4.0</v>
      </c>
      <c r="AE150" s="1">
        <v>1.0</v>
      </c>
      <c r="AF150" s="1">
        <v>3.0</v>
      </c>
      <c r="AG150" s="1">
        <v>4.0</v>
      </c>
      <c r="AH150" s="1">
        <v>4.0</v>
      </c>
      <c r="AI150" s="1">
        <v>4.0</v>
      </c>
      <c r="AJ150" s="1">
        <v>4.0</v>
      </c>
      <c r="AK150" s="1">
        <v>4.0</v>
      </c>
      <c r="AL150" s="1">
        <v>4.0</v>
      </c>
      <c r="AM150" s="1">
        <v>2.0</v>
      </c>
      <c r="AN150" s="1">
        <v>4.0</v>
      </c>
      <c r="AO150" s="1">
        <v>2.0</v>
      </c>
      <c r="AP150" s="1">
        <v>3.0</v>
      </c>
      <c r="AQ150" s="1">
        <v>3.0</v>
      </c>
      <c r="AR150" s="1">
        <v>3.0</v>
      </c>
      <c r="AS150" s="1">
        <v>3.0</v>
      </c>
      <c r="AT150" s="1">
        <v>4.0</v>
      </c>
      <c r="AU150" s="1">
        <v>3.0</v>
      </c>
      <c r="AV150" s="1">
        <v>3.0</v>
      </c>
      <c r="AW150" s="1">
        <v>4.0</v>
      </c>
      <c r="AX150" s="1">
        <v>4.0</v>
      </c>
      <c r="AY150" s="1">
        <v>4.0</v>
      </c>
      <c r="AZ150" s="1">
        <v>4.0</v>
      </c>
      <c r="BA150" s="1">
        <v>4.0</v>
      </c>
      <c r="BB150" s="1">
        <v>3.0</v>
      </c>
      <c r="BC150" s="1">
        <v>4.0</v>
      </c>
      <c r="BD150" s="1">
        <v>3.0</v>
      </c>
      <c r="BE150" s="1">
        <v>2.0</v>
      </c>
      <c r="BF150" s="1">
        <v>4.0</v>
      </c>
      <c r="BG150" s="1">
        <v>4.0</v>
      </c>
      <c r="BH150" s="1">
        <v>3.0</v>
      </c>
      <c r="BI150" s="1">
        <v>4.0</v>
      </c>
      <c r="BJ150" s="1">
        <v>4.0</v>
      </c>
      <c r="BK150" s="1">
        <v>3.0</v>
      </c>
      <c r="BL150" s="1">
        <v>3.0</v>
      </c>
      <c r="BM150" s="1">
        <v>3.0</v>
      </c>
      <c r="BN150" s="1">
        <v>2.0</v>
      </c>
      <c r="BO150" s="1">
        <v>3.0</v>
      </c>
      <c r="BP150" s="1">
        <v>3.0</v>
      </c>
      <c r="BQ150" s="1">
        <v>4.0</v>
      </c>
      <c r="BR150" s="1">
        <v>4.0</v>
      </c>
      <c r="BS150" s="1">
        <v>4.0</v>
      </c>
      <c r="BT150" s="1">
        <v>4.0</v>
      </c>
      <c r="BU150" s="1">
        <v>4.0</v>
      </c>
      <c r="BV150" s="1">
        <v>4.0</v>
      </c>
      <c r="BW150" s="1">
        <v>4.0</v>
      </c>
      <c r="BX150" s="1">
        <v>4.0</v>
      </c>
      <c r="BY150" s="1">
        <v>4.0</v>
      </c>
      <c r="BZ150" s="1">
        <v>4.0</v>
      </c>
    </row>
    <row r="151">
      <c r="A151" s="19">
        <v>46262.533946655094</v>
      </c>
      <c r="B151" s="1" t="s">
        <v>162</v>
      </c>
      <c r="C151" s="1" t="s">
        <v>821</v>
      </c>
      <c r="D151" s="1">
        <v>2006.0</v>
      </c>
      <c r="E151" s="1" t="s">
        <v>213</v>
      </c>
      <c r="F151" s="1" t="s">
        <v>822</v>
      </c>
      <c r="G151" s="1">
        <v>4.0</v>
      </c>
      <c r="H151" s="1">
        <v>4.0</v>
      </c>
      <c r="I151" s="1">
        <v>3.0</v>
      </c>
      <c r="J151" s="1">
        <v>4.0</v>
      </c>
      <c r="K151" s="1">
        <v>4.0</v>
      </c>
      <c r="L151" s="1">
        <v>4.0</v>
      </c>
      <c r="M151" s="1">
        <v>3.0</v>
      </c>
      <c r="N151" s="1">
        <v>3.0</v>
      </c>
      <c r="O151" s="1">
        <v>4.0</v>
      </c>
      <c r="P151" s="1">
        <v>4.0</v>
      </c>
      <c r="Q151" s="1">
        <v>4.0</v>
      </c>
      <c r="R151" s="1">
        <v>4.0</v>
      </c>
      <c r="S151" s="1">
        <v>3.0</v>
      </c>
      <c r="T151" s="1">
        <v>4.0</v>
      </c>
      <c r="U151" s="1">
        <v>4.0</v>
      </c>
      <c r="V151" s="1">
        <v>4.0</v>
      </c>
      <c r="W151" s="1">
        <v>4.0</v>
      </c>
      <c r="X151" s="1">
        <v>4.0</v>
      </c>
      <c r="Y151" s="1">
        <v>3.0</v>
      </c>
      <c r="Z151" s="1">
        <v>4.0</v>
      </c>
      <c r="AA151" s="1">
        <v>4.0</v>
      </c>
      <c r="AB151" s="1">
        <v>4.0</v>
      </c>
      <c r="AC151" s="1">
        <v>4.0</v>
      </c>
      <c r="AD151" s="1">
        <v>4.0</v>
      </c>
      <c r="AE151" s="1">
        <v>3.0</v>
      </c>
      <c r="AF151" s="1">
        <v>4.0</v>
      </c>
      <c r="AG151" s="1">
        <v>4.0</v>
      </c>
      <c r="AH151" s="1">
        <v>4.0</v>
      </c>
      <c r="AI151" s="1">
        <v>4.0</v>
      </c>
      <c r="AJ151" s="1">
        <v>3.0</v>
      </c>
      <c r="AK151" s="1">
        <v>3.0</v>
      </c>
      <c r="AL151" s="1">
        <v>4.0</v>
      </c>
      <c r="AM151" s="1">
        <v>3.0</v>
      </c>
      <c r="AN151" s="1">
        <v>4.0</v>
      </c>
      <c r="AO151" s="1">
        <v>4.0</v>
      </c>
      <c r="AP151" s="1">
        <v>2.0</v>
      </c>
      <c r="AQ151" s="1">
        <v>2.0</v>
      </c>
      <c r="AR151" s="1">
        <v>4.0</v>
      </c>
      <c r="AS151" s="1">
        <v>4.0</v>
      </c>
      <c r="AT151" s="1">
        <v>4.0</v>
      </c>
      <c r="AU151" s="1">
        <v>4.0</v>
      </c>
      <c r="AV151" s="1">
        <v>4.0</v>
      </c>
      <c r="AW151" s="1">
        <v>3.0</v>
      </c>
      <c r="AX151" s="1">
        <v>4.0</v>
      </c>
      <c r="AY151" s="1">
        <v>2.0</v>
      </c>
      <c r="AZ151" s="1">
        <v>4.0</v>
      </c>
      <c r="BA151" s="1">
        <v>4.0</v>
      </c>
      <c r="BB151" s="1">
        <v>3.0</v>
      </c>
      <c r="BC151" s="1">
        <v>4.0</v>
      </c>
      <c r="BD151" s="1">
        <v>4.0</v>
      </c>
      <c r="BE151" s="1">
        <v>3.0</v>
      </c>
      <c r="BF151" s="1">
        <v>4.0</v>
      </c>
      <c r="BG151" s="1">
        <v>4.0</v>
      </c>
      <c r="BH151" s="1">
        <v>4.0</v>
      </c>
      <c r="BI151" s="1">
        <v>4.0</v>
      </c>
      <c r="BJ151" s="1">
        <v>4.0</v>
      </c>
      <c r="BK151" s="1">
        <v>4.0</v>
      </c>
      <c r="BL151" s="1">
        <v>4.0</v>
      </c>
      <c r="BM151" s="1">
        <v>4.0</v>
      </c>
      <c r="BN151" s="1">
        <v>3.0</v>
      </c>
      <c r="BO151" s="1">
        <v>4.0</v>
      </c>
      <c r="BP151" s="1">
        <v>2.0</v>
      </c>
      <c r="BQ151" s="1">
        <v>4.0</v>
      </c>
      <c r="BR151" s="1">
        <v>4.0</v>
      </c>
      <c r="BS151" s="1">
        <v>4.0</v>
      </c>
      <c r="BT151" s="1">
        <v>4.0</v>
      </c>
      <c r="BU151" s="1">
        <v>4.0</v>
      </c>
      <c r="BV151" s="1">
        <v>3.0</v>
      </c>
      <c r="BW151" s="1">
        <v>4.0</v>
      </c>
      <c r="BX151" s="1">
        <v>4.0</v>
      </c>
      <c r="BY151" s="1">
        <v>4.0</v>
      </c>
      <c r="BZ151" s="1">
        <v>4.0</v>
      </c>
    </row>
    <row r="152">
      <c r="A152" s="19">
        <v>46262.54608571759</v>
      </c>
      <c r="B152" s="1" t="s">
        <v>162</v>
      </c>
      <c r="C152" s="1" t="s">
        <v>821</v>
      </c>
      <c r="D152" s="1">
        <v>2006.0</v>
      </c>
      <c r="E152" s="1" t="s">
        <v>213</v>
      </c>
      <c r="F152" s="1" t="s">
        <v>822</v>
      </c>
      <c r="G152" s="1">
        <v>4.0</v>
      </c>
      <c r="H152" s="1">
        <v>4.0</v>
      </c>
      <c r="I152" s="1">
        <v>4.0</v>
      </c>
      <c r="J152" s="1">
        <v>4.0</v>
      </c>
      <c r="K152" s="1">
        <v>4.0</v>
      </c>
      <c r="L152" s="1">
        <v>4.0</v>
      </c>
      <c r="M152" s="1">
        <v>3.0</v>
      </c>
      <c r="N152" s="1">
        <v>4.0</v>
      </c>
      <c r="O152" s="1">
        <v>4.0</v>
      </c>
      <c r="P152" s="1">
        <v>4.0</v>
      </c>
      <c r="Q152" s="1">
        <v>4.0</v>
      </c>
      <c r="R152" s="1">
        <v>4.0</v>
      </c>
      <c r="S152" s="1">
        <v>3.0</v>
      </c>
      <c r="T152" s="1">
        <v>4.0</v>
      </c>
      <c r="U152" s="1">
        <v>3.0</v>
      </c>
      <c r="V152" s="1">
        <v>4.0</v>
      </c>
      <c r="W152" s="1">
        <v>4.0</v>
      </c>
      <c r="X152" s="1">
        <v>4.0</v>
      </c>
      <c r="Y152" s="1">
        <v>4.0</v>
      </c>
      <c r="Z152" s="1">
        <v>4.0</v>
      </c>
      <c r="AA152" s="1">
        <v>4.0</v>
      </c>
      <c r="AB152" s="1">
        <v>4.0</v>
      </c>
      <c r="AC152" s="1">
        <v>4.0</v>
      </c>
      <c r="AD152" s="1">
        <v>4.0</v>
      </c>
      <c r="AE152" s="1">
        <v>3.0</v>
      </c>
      <c r="AF152" s="1">
        <v>4.0</v>
      </c>
      <c r="AG152" s="1">
        <v>4.0</v>
      </c>
      <c r="AH152" s="1">
        <v>4.0</v>
      </c>
      <c r="AI152" s="1">
        <v>4.0</v>
      </c>
      <c r="AJ152" s="1">
        <v>4.0</v>
      </c>
      <c r="AK152" s="1">
        <v>4.0</v>
      </c>
      <c r="AL152" s="1">
        <v>4.0</v>
      </c>
      <c r="AM152" s="1">
        <v>3.0</v>
      </c>
      <c r="AN152" s="1">
        <v>4.0</v>
      </c>
      <c r="AO152" s="1">
        <v>4.0</v>
      </c>
      <c r="AP152" s="1">
        <v>3.0</v>
      </c>
      <c r="AQ152" s="1">
        <v>3.0</v>
      </c>
      <c r="AR152" s="1">
        <v>4.0</v>
      </c>
      <c r="AS152" s="1">
        <v>4.0</v>
      </c>
      <c r="AT152" s="1">
        <v>4.0</v>
      </c>
      <c r="AU152" s="1">
        <v>4.0</v>
      </c>
      <c r="AV152" s="1">
        <v>4.0</v>
      </c>
      <c r="AW152" s="1">
        <v>4.0</v>
      </c>
      <c r="AX152" s="1">
        <v>4.0</v>
      </c>
      <c r="AY152" s="1">
        <v>3.0</v>
      </c>
      <c r="AZ152" s="1">
        <v>4.0</v>
      </c>
      <c r="BA152" s="1">
        <v>4.0</v>
      </c>
      <c r="BB152" s="1">
        <v>4.0</v>
      </c>
      <c r="BC152" s="1">
        <v>4.0</v>
      </c>
      <c r="BD152" s="1">
        <v>4.0</v>
      </c>
      <c r="BE152" s="1">
        <v>3.0</v>
      </c>
      <c r="BF152" s="1">
        <v>4.0</v>
      </c>
      <c r="BG152" s="1">
        <v>4.0</v>
      </c>
      <c r="BH152" s="1">
        <v>4.0</v>
      </c>
      <c r="BI152" s="1">
        <v>4.0</v>
      </c>
      <c r="BJ152" s="1">
        <v>4.0</v>
      </c>
      <c r="BK152" s="1">
        <v>4.0</v>
      </c>
      <c r="BL152" s="1">
        <v>4.0</v>
      </c>
      <c r="BM152" s="1">
        <v>4.0</v>
      </c>
      <c r="BN152" s="1">
        <v>4.0</v>
      </c>
      <c r="BO152" s="1">
        <v>4.0</v>
      </c>
      <c r="BP152" s="1">
        <v>3.0</v>
      </c>
      <c r="BQ152" s="1">
        <v>4.0</v>
      </c>
      <c r="BR152" s="1">
        <v>4.0</v>
      </c>
      <c r="BS152" s="1">
        <v>4.0</v>
      </c>
      <c r="BT152" s="1">
        <v>4.0</v>
      </c>
      <c r="BU152" s="1">
        <v>4.0</v>
      </c>
      <c r="BV152" s="1">
        <v>4.0</v>
      </c>
      <c r="BW152" s="1">
        <v>4.0</v>
      </c>
      <c r="BX152" s="1">
        <v>4.0</v>
      </c>
      <c r="BY152" s="1">
        <v>4.0</v>
      </c>
      <c r="BZ152" s="1">
        <v>4.0</v>
      </c>
    </row>
    <row r="153">
      <c r="A153" s="19">
        <v>46262.56340280092</v>
      </c>
      <c r="B153" s="1" t="s">
        <v>162</v>
      </c>
      <c r="C153" s="1" t="s">
        <v>829</v>
      </c>
      <c r="D153" s="1">
        <v>2000.0</v>
      </c>
      <c r="E153" s="1" t="s">
        <v>225</v>
      </c>
      <c r="F153" s="1" t="s">
        <v>830</v>
      </c>
      <c r="G153" s="1">
        <v>3.0</v>
      </c>
      <c r="H153" s="1">
        <v>3.0</v>
      </c>
      <c r="I153" s="1">
        <v>3.0</v>
      </c>
      <c r="J153" s="1">
        <v>3.0</v>
      </c>
      <c r="K153" s="1">
        <v>3.0</v>
      </c>
      <c r="L153" s="1">
        <v>4.0</v>
      </c>
      <c r="M153" s="1">
        <v>3.0</v>
      </c>
      <c r="N153" s="1">
        <v>4.0</v>
      </c>
      <c r="O153" s="1">
        <v>4.0</v>
      </c>
      <c r="P153" s="1">
        <v>4.0</v>
      </c>
      <c r="Q153" s="1">
        <v>4.0</v>
      </c>
      <c r="R153" s="1">
        <v>4.0</v>
      </c>
      <c r="S153" s="1">
        <v>3.0</v>
      </c>
      <c r="T153" s="1">
        <v>4.0</v>
      </c>
      <c r="U153" s="1">
        <v>3.0</v>
      </c>
      <c r="V153" s="1">
        <v>3.0</v>
      </c>
      <c r="W153" s="1">
        <v>4.0</v>
      </c>
      <c r="X153" s="1">
        <v>3.0</v>
      </c>
      <c r="Y153" s="1">
        <v>4.0</v>
      </c>
      <c r="Z153" s="1">
        <v>4.0</v>
      </c>
      <c r="AA153" s="1">
        <v>2.0</v>
      </c>
      <c r="AB153" s="1">
        <v>4.0</v>
      </c>
      <c r="AC153" s="1">
        <v>4.0</v>
      </c>
      <c r="AD153" s="1">
        <v>3.0</v>
      </c>
      <c r="AE153" s="1">
        <v>4.0</v>
      </c>
      <c r="AF153" s="1">
        <v>4.0</v>
      </c>
      <c r="AG153" s="1">
        <v>4.0</v>
      </c>
      <c r="AH153" s="1">
        <v>4.0</v>
      </c>
      <c r="AI153" s="1">
        <v>4.0</v>
      </c>
      <c r="AJ153" s="1">
        <v>3.0</v>
      </c>
      <c r="AK153" s="1">
        <v>3.0</v>
      </c>
      <c r="AL153" s="1">
        <v>4.0</v>
      </c>
      <c r="AM153" s="1">
        <v>4.0</v>
      </c>
      <c r="AN153" s="1">
        <v>4.0</v>
      </c>
      <c r="AO153" s="1">
        <v>4.0</v>
      </c>
      <c r="AP153" s="1">
        <v>3.0</v>
      </c>
      <c r="AQ153" s="1">
        <v>2.0</v>
      </c>
      <c r="AR153" s="1">
        <v>3.0</v>
      </c>
      <c r="AS153" s="1">
        <v>3.0</v>
      </c>
      <c r="AT153" s="1">
        <v>3.0</v>
      </c>
      <c r="AU153" s="1">
        <v>4.0</v>
      </c>
      <c r="AV153" s="1">
        <v>4.0</v>
      </c>
      <c r="AW153" s="1">
        <v>3.0</v>
      </c>
      <c r="AX153" s="1">
        <v>4.0</v>
      </c>
      <c r="AY153" s="1">
        <v>4.0</v>
      </c>
      <c r="AZ153" s="1">
        <v>4.0</v>
      </c>
      <c r="BA153" s="1">
        <v>4.0</v>
      </c>
      <c r="BB153" s="1">
        <v>4.0</v>
      </c>
      <c r="BC153" s="1">
        <v>4.0</v>
      </c>
      <c r="BD153" s="1">
        <v>4.0</v>
      </c>
      <c r="BE153" s="1">
        <v>3.0</v>
      </c>
      <c r="BF153" s="1">
        <v>4.0</v>
      </c>
      <c r="BG153" s="1">
        <v>4.0</v>
      </c>
      <c r="BH153" s="1">
        <v>3.0</v>
      </c>
      <c r="BI153" s="1">
        <v>4.0</v>
      </c>
      <c r="BJ153" s="1">
        <v>4.0</v>
      </c>
      <c r="BK153" s="1">
        <v>4.0</v>
      </c>
      <c r="BL153" s="1">
        <v>4.0</v>
      </c>
      <c r="BM153" s="1">
        <v>4.0</v>
      </c>
      <c r="BN153" s="1">
        <v>3.0</v>
      </c>
      <c r="BO153" s="1">
        <v>3.0</v>
      </c>
      <c r="BP153" s="1">
        <v>4.0</v>
      </c>
      <c r="BQ153" s="1">
        <v>4.0</v>
      </c>
      <c r="BR153" s="1">
        <v>4.0</v>
      </c>
      <c r="BS153" s="1">
        <v>4.0</v>
      </c>
      <c r="BT153" s="1">
        <v>4.0</v>
      </c>
      <c r="BU153" s="1">
        <v>4.0</v>
      </c>
      <c r="BV153" s="1">
        <v>4.0</v>
      </c>
      <c r="BW153" s="1">
        <v>4.0</v>
      </c>
      <c r="BX153" s="1">
        <v>4.0</v>
      </c>
      <c r="BY153" s="1">
        <v>4.0</v>
      </c>
      <c r="BZ153" s="1">
        <v>4.0</v>
      </c>
    </row>
    <row r="154">
      <c r="A154" s="19">
        <v>46262.60783597222</v>
      </c>
      <c r="B154" s="1" t="s">
        <v>162</v>
      </c>
      <c r="C154" s="1" t="s">
        <v>834</v>
      </c>
      <c r="D154" s="1">
        <v>2009.0</v>
      </c>
      <c r="E154" s="1" t="s">
        <v>213</v>
      </c>
      <c r="F154" s="1" t="s">
        <v>835</v>
      </c>
      <c r="G154" s="1">
        <v>4.0</v>
      </c>
      <c r="H154" s="1">
        <v>5.0</v>
      </c>
      <c r="I154" s="1">
        <v>4.0</v>
      </c>
      <c r="J154" s="1">
        <v>5.0</v>
      </c>
      <c r="K154" s="1">
        <v>5.0</v>
      </c>
      <c r="L154" s="1">
        <v>5.0</v>
      </c>
      <c r="M154" s="1">
        <v>4.0</v>
      </c>
      <c r="N154" s="1">
        <v>5.0</v>
      </c>
      <c r="O154" s="1">
        <v>5.0</v>
      </c>
      <c r="P154" s="1">
        <v>5.0</v>
      </c>
      <c r="Q154" s="1">
        <v>5.0</v>
      </c>
      <c r="R154" s="1">
        <v>5.0</v>
      </c>
      <c r="S154" s="1">
        <v>4.0</v>
      </c>
      <c r="T154" s="1">
        <v>5.0</v>
      </c>
      <c r="U154" s="1">
        <v>3.0</v>
      </c>
      <c r="V154" s="1">
        <v>5.0</v>
      </c>
      <c r="W154" s="1">
        <v>5.0</v>
      </c>
      <c r="X154" s="1">
        <v>4.0</v>
      </c>
      <c r="Y154" s="1">
        <v>4.0</v>
      </c>
      <c r="Z154" s="1">
        <v>5.0</v>
      </c>
      <c r="AA154" s="1">
        <v>4.0</v>
      </c>
      <c r="AB154" s="1">
        <v>5.0</v>
      </c>
      <c r="AC154" s="1">
        <v>5.0</v>
      </c>
      <c r="AD154" s="1">
        <v>5.0</v>
      </c>
      <c r="AE154" s="1">
        <v>3.0</v>
      </c>
      <c r="AF154" s="1">
        <v>5.0</v>
      </c>
      <c r="AG154" s="1">
        <v>5.0</v>
      </c>
      <c r="AH154" s="1">
        <v>5.0</v>
      </c>
      <c r="AI154" s="1">
        <v>5.0</v>
      </c>
      <c r="AJ154" s="1">
        <v>5.0</v>
      </c>
      <c r="AK154" s="1">
        <v>5.0</v>
      </c>
      <c r="AL154" s="1">
        <v>5.0</v>
      </c>
      <c r="AM154" s="1">
        <v>4.0</v>
      </c>
      <c r="AN154" s="1">
        <v>5.0</v>
      </c>
      <c r="AO154" s="1">
        <v>5.0</v>
      </c>
      <c r="AP154" s="1">
        <v>5.0</v>
      </c>
      <c r="AQ154" s="1">
        <v>3.0</v>
      </c>
      <c r="AR154" s="1">
        <v>5.0</v>
      </c>
      <c r="AS154" s="1">
        <v>4.0</v>
      </c>
      <c r="AT154" s="1">
        <v>5.0</v>
      </c>
      <c r="AU154" s="1">
        <v>5.0</v>
      </c>
      <c r="AV154" s="1">
        <v>5.0</v>
      </c>
      <c r="AW154" s="1">
        <v>4.0</v>
      </c>
      <c r="AX154" s="1">
        <v>5.0</v>
      </c>
      <c r="AY154" s="1">
        <v>5.0</v>
      </c>
      <c r="AZ154" s="1">
        <v>5.0</v>
      </c>
      <c r="BA154" s="1">
        <v>5.0</v>
      </c>
      <c r="BB154" s="1">
        <v>5.0</v>
      </c>
      <c r="BC154" s="1">
        <v>5.0</v>
      </c>
      <c r="BD154" s="1">
        <v>5.0</v>
      </c>
      <c r="BE154" s="1">
        <v>4.0</v>
      </c>
      <c r="BF154" s="1">
        <v>5.0</v>
      </c>
      <c r="BG154" s="1">
        <v>5.0</v>
      </c>
      <c r="BH154" s="1">
        <v>5.0</v>
      </c>
      <c r="BI154" s="1">
        <v>5.0</v>
      </c>
      <c r="BJ154" s="1">
        <v>5.0</v>
      </c>
      <c r="BK154" s="1">
        <v>5.0</v>
      </c>
      <c r="BL154" s="1">
        <v>5.0</v>
      </c>
      <c r="BM154" s="1">
        <v>5.0</v>
      </c>
      <c r="BN154" s="1">
        <v>4.0</v>
      </c>
      <c r="BO154" s="1">
        <v>5.0</v>
      </c>
      <c r="BP154" s="1">
        <v>5.0</v>
      </c>
      <c r="BQ154" s="1">
        <v>5.0</v>
      </c>
      <c r="BR154" s="1">
        <v>5.0</v>
      </c>
      <c r="BS154" s="1">
        <v>5.0</v>
      </c>
      <c r="BT154" s="1">
        <v>5.0</v>
      </c>
      <c r="BU154" s="1">
        <v>5.0</v>
      </c>
      <c r="BV154" s="1">
        <v>5.0</v>
      </c>
      <c r="BW154" s="1">
        <v>4.0</v>
      </c>
      <c r="BX154" s="1">
        <v>5.0</v>
      </c>
      <c r="BY154" s="1">
        <v>5.0</v>
      </c>
      <c r="BZ154" s="1">
        <v>5.0</v>
      </c>
    </row>
    <row r="155">
      <c r="A155" s="19">
        <v>46268.681609363426</v>
      </c>
      <c r="B155" s="1" t="s">
        <v>162</v>
      </c>
      <c r="C155" s="1" t="s">
        <v>839</v>
      </c>
      <c r="D155" s="20" t="s">
        <v>840</v>
      </c>
      <c r="E155" s="1" t="s">
        <v>266</v>
      </c>
      <c r="F155" s="1" t="s">
        <v>841</v>
      </c>
      <c r="G155" s="1">
        <v>3.0</v>
      </c>
      <c r="H155" s="1">
        <v>3.0</v>
      </c>
      <c r="I155" s="1">
        <v>3.0</v>
      </c>
      <c r="J155" s="1">
        <v>4.0</v>
      </c>
      <c r="K155" s="1">
        <v>4.0</v>
      </c>
      <c r="L155" s="1">
        <v>4.0</v>
      </c>
      <c r="M155" s="1">
        <v>3.0</v>
      </c>
      <c r="N155" s="1">
        <v>4.0</v>
      </c>
      <c r="O155" s="1">
        <v>4.0</v>
      </c>
      <c r="P155" s="1">
        <v>4.0</v>
      </c>
      <c r="Q155" s="1">
        <v>4.0</v>
      </c>
      <c r="R155" s="1">
        <v>4.0</v>
      </c>
      <c r="S155" s="1">
        <v>3.0</v>
      </c>
      <c r="T155" s="1">
        <v>4.0</v>
      </c>
      <c r="U155" s="1">
        <v>3.0</v>
      </c>
      <c r="V155" s="1">
        <v>4.0</v>
      </c>
      <c r="W155" s="1">
        <v>4.0</v>
      </c>
      <c r="X155" s="1">
        <v>3.0</v>
      </c>
      <c r="Y155" s="1">
        <v>3.0</v>
      </c>
      <c r="Z155" s="1">
        <v>4.0</v>
      </c>
      <c r="AA155" s="1">
        <v>3.0</v>
      </c>
      <c r="AB155" s="1">
        <v>4.0</v>
      </c>
      <c r="AC155" s="1">
        <v>4.0</v>
      </c>
      <c r="AD155" s="1">
        <v>4.0</v>
      </c>
      <c r="AE155" s="1">
        <v>3.0</v>
      </c>
      <c r="AF155" s="1">
        <v>4.0</v>
      </c>
      <c r="AG155" s="1">
        <v>4.0</v>
      </c>
      <c r="AH155" s="1">
        <v>4.0</v>
      </c>
      <c r="AI155" s="1">
        <v>4.0</v>
      </c>
      <c r="AJ155" s="1">
        <v>4.0</v>
      </c>
      <c r="AK155" s="1">
        <v>4.0</v>
      </c>
      <c r="AL155" s="1">
        <v>4.0</v>
      </c>
      <c r="AM155" s="1">
        <v>3.0</v>
      </c>
      <c r="AN155" s="1">
        <v>4.0</v>
      </c>
      <c r="AO155" s="1">
        <v>4.0</v>
      </c>
      <c r="AP155" s="1">
        <v>2.0</v>
      </c>
      <c r="AQ155" s="1">
        <v>3.0</v>
      </c>
      <c r="AR155" s="1">
        <v>4.0</v>
      </c>
      <c r="AS155" s="1">
        <v>4.0</v>
      </c>
      <c r="AT155" s="1">
        <v>4.0</v>
      </c>
      <c r="AU155" s="1">
        <v>4.0</v>
      </c>
      <c r="AV155" s="1">
        <v>4.0</v>
      </c>
      <c r="AW155" s="1">
        <v>4.0</v>
      </c>
      <c r="AX155" s="1">
        <v>4.0</v>
      </c>
      <c r="AY155" s="1">
        <v>4.0</v>
      </c>
      <c r="AZ155" s="1">
        <v>4.0</v>
      </c>
      <c r="BA155" s="1">
        <v>4.0</v>
      </c>
      <c r="BB155" s="1">
        <v>4.0</v>
      </c>
      <c r="BC155" s="1">
        <v>4.0</v>
      </c>
      <c r="BD155" s="1">
        <v>4.0</v>
      </c>
      <c r="BE155" s="1">
        <v>4.0</v>
      </c>
      <c r="BF155" s="1">
        <v>4.0</v>
      </c>
      <c r="BG155" s="1">
        <v>4.0</v>
      </c>
      <c r="BH155" s="1">
        <v>4.0</v>
      </c>
      <c r="BI155" s="1">
        <v>4.0</v>
      </c>
      <c r="BJ155" s="1">
        <v>4.0</v>
      </c>
      <c r="BK155" s="1">
        <v>4.0</v>
      </c>
      <c r="BL155" s="1">
        <v>4.0</v>
      </c>
      <c r="BM155" s="1">
        <v>4.0</v>
      </c>
      <c r="BN155" s="1">
        <v>4.0</v>
      </c>
      <c r="BO155" s="1">
        <v>4.0</v>
      </c>
      <c r="BP155" s="1">
        <v>4.0</v>
      </c>
      <c r="BQ155" s="1">
        <v>4.0</v>
      </c>
      <c r="BR155" s="1">
        <v>4.0</v>
      </c>
      <c r="BS155" s="1">
        <v>4.0</v>
      </c>
      <c r="BT155" s="1">
        <v>4.0</v>
      </c>
      <c r="BU155" s="1">
        <v>4.0</v>
      </c>
      <c r="BV155" s="1">
        <v>4.0</v>
      </c>
      <c r="BW155" s="1">
        <v>4.0</v>
      </c>
      <c r="BX155" s="1">
        <v>4.0</v>
      </c>
      <c r="BY155" s="1">
        <v>4.0</v>
      </c>
      <c r="BZ155" s="1">
        <v>4.0</v>
      </c>
    </row>
    <row r="156">
      <c r="A156" s="19">
        <v>46286.56361370371</v>
      </c>
      <c r="B156" s="1" t="s">
        <v>162</v>
      </c>
      <c r="C156" s="1" t="s">
        <v>845</v>
      </c>
      <c r="D156" s="20" t="s">
        <v>840</v>
      </c>
      <c r="E156" s="1" t="s">
        <v>846</v>
      </c>
      <c r="F156" s="1" t="s">
        <v>847</v>
      </c>
      <c r="G156" s="1">
        <v>3.0</v>
      </c>
      <c r="H156" s="1">
        <v>3.0</v>
      </c>
      <c r="I156" s="1">
        <v>3.0</v>
      </c>
      <c r="J156" s="1">
        <v>3.0</v>
      </c>
      <c r="K156" s="1">
        <v>3.0</v>
      </c>
      <c r="L156" s="1">
        <v>3.0</v>
      </c>
      <c r="M156" s="1">
        <v>3.0</v>
      </c>
      <c r="N156" s="1">
        <v>3.0</v>
      </c>
      <c r="O156" s="1">
        <v>3.0</v>
      </c>
      <c r="P156" s="1">
        <v>3.0</v>
      </c>
      <c r="Q156" s="1">
        <v>3.0</v>
      </c>
      <c r="R156" s="1">
        <v>3.0</v>
      </c>
      <c r="S156" s="1">
        <v>3.0</v>
      </c>
      <c r="T156" s="1">
        <v>3.0</v>
      </c>
      <c r="U156" s="1">
        <v>3.0</v>
      </c>
      <c r="V156" s="1">
        <v>3.0</v>
      </c>
      <c r="W156" s="1">
        <v>3.0</v>
      </c>
      <c r="X156" s="1">
        <v>3.0</v>
      </c>
      <c r="Y156" s="1">
        <v>3.0</v>
      </c>
      <c r="Z156" s="1">
        <v>3.0</v>
      </c>
      <c r="AA156" s="1">
        <v>3.0</v>
      </c>
      <c r="AB156" s="1">
        <v>3.0</v>
      </c>
      <c r="AC156" s="1">
        <v>3.0</v>
      </c>
      <c r="AD156" s="1">
        <v>3.0</v>
      </c>
      <c r="AE156" s="1">
        <v>3.0</v>
      </c>
      <c r="AF156" s="1">
        <v>3.0</v>
      </c>
      <c r="AG156" s="1">
        <v>3.0</v>
      </c>
      <c r="AH156" s="1">
        <v>3.0</v>
      </c>
      <c r="AI156" s="1">
        <v>3.0</v>
      </c>
      <c r="AJ156" s="1">
        <v>3.0</v>
      </c>
      <c r="AK156" s="1">
        <v>3.0</v>
      </c>
      <c r="AL156" s="1">
        <v>3.0</v>
      </c>
      <c r="AM156" s="1">
        <v>3.0</v>
      </c>
      <c r="AN156" s="1">
        <v>3.0</v>
      </c>
      <c r="AO156" s="1">
        <v>3.0</v>
      </c>
      <c r="AP156" s="1">
        <v>3.0</v>
      </c>
      <c r="AQ156" s="1">
        <v>3.0</v>
      </c>
      <c r="AR156" s="1">
        <v>3.0</v>
      </c>
      <c r="AS156" s="1">
        <v>3.0</v>
      </c>
      <c r="AT156" s="1">
        <v>3.0</v>
      </c>
      <c r="AU156" s="1">
        <v>3.0</v>
      </c>
      <c r="AV156" s="1">
        <v>3.0</v>
      </c>
      <c r="AW156" s="1">
        <v>3.0</v>
      </c>
      <c r="AX156" s="1">
        <v>3.0</v>
      </c>
      <c r="AY156" s="1">
        <v>3.0</v>
      </c>
      <c r="AZ156" s="1">
        <v>3.0</v>
      </c>
      <c r="BA156" s="1">
        <v>3.0</v>
      </c>
      <c r="BB156" s="1">
        <v>3.0</v>
      </c>
      <c r="BC156" s="1">
        <v>3.0</v>
      </c>
      <c r="BD156" s="1">
        <v>3.0</v>
      </c>
      <c r="BE156" s="1">
        <v>3.0</v>
      </c>
      <c r="BF156" s="1">
        <v>3.0</v>
      </c>
      <c r="BG156" s="1">
        <v>3.0</v>
      </c>
      <c r="BH156" s="1">
        <v>3.0</v>
      </c>
      <c r="BI156" s="1">
        <v>3.0</v>
      </c>
      <c r="BJ156" s="1">
        <v>3.0</v>
      </c>
      <c r="BK156" s="1">
        <v>3.0</v>
      </c>
      <c r="BL156" s="1">
        <v>3.0</v>
      </c>
      <c r="BM156" s="1">
        <v>3.0</v>
      </c>
      <c r="BN156" s="1">
        <v>3.0</v>
      </c>
      <c r="BO156" s="1">
        <v>3.0</v>
      </c>
      <c r="BP156" s="1">
        <v>3.0</v>
      </c>
      <c r="BQ156" s="1">
        <v>3.0</v>
      </c>
      <c r="BR156" s="1">
        <v>3.0</v>
      </c>
      <c r="BS156" s="1">
        <v>3.0</v>
      </c>
      <c r="BT156" s="1">
        <v>3.0</v>
      </c>
      <c r="BU156" s="1">
        <v>3.0</v>
      </c>
      <c r="BV156" s="1">
        <v>3.0</v>
      </c>
      <c r="BW156" s="1">
        <v>3.0</v>
      </c>
      <c r="BX156" s="1">
        <v>3.0</v>
      </c>
      <c r="BY156" s="1">
        <v>3.0</v>
      </c>
      <c r="BZ156" s="1">
        <v>3.0</v>
      </c>
    </row>
    <row r="157">
      <c r="A157" s="19">
        <v>46286.56378141204</v>
      </c>
      <c r="B157" s="1" t="s">
        <v>162</v>
      </c>
      <c r="C157" s="1" t="s">
        <v>851</v>
      </c>
      <c r="D157" s="1">
        <v>2013.0</v>
      </c>
      <c r="E157" s="1" t="s">
        <v>296</v>
      </c>
      <c r="F157" s="1" t="s">
        <v>297</v>
      </c>
      <c r="G157" s="1">
        <v>5.0</v>
      </c>
      <c r="H157" s="1">
        <v>4.0</v>
      </c>
      <c r="I157" s="1">
        <v>4.0</v>
      </c>
      <c r="J157" s="1">
        <v>4.0</v>
      </c>
      <c r="K157" s="1">
        <v>3.0</v>
      </c>
      <c r="L157" s="1">
        <v>4.0</v>
      </c>
      <c r="M157" s="1">
        <v>4.0</v>
      </c>
      <c r="N157" s="1">
        <v>4.0</v>
      </c>
      <c r="O157" s="1">
        <v>4.0</v>
      </c>
      <c r="P157" s="1">
        <v>3.0</v>
      </c>
      <c r="Q157" s="1">
        <v>3.0</v>
      </c>
      <c r="R157" s="1">
        <v>3.0</v>
      </c>
      <c r="S157" s="1">
        <v>3.0</v>
      </c>
      <c r="T157" s="1">
        <v>4.0</v>
      </c>
      <c r="U157" s="1">
        <v>4.0</v>
      </c>
      <c r="V157" s="1">
        <v>3.0</v>
      </c>
      <c r="W157" s="1">
        <v>4.0</v>
      </c>
      <c r="X157" s="1">
        <v>4.0</v>
      </c>
      <c r="Y157" s="1">
        <v>3.0</v>
      </c>
      <c r="Z157" s="1">
        <v>4.0</v>
      </c>
      <c r="AA157" s="1">
        <v>4.0</v>
      </c>
      <c r="AB157" s="1">
        <v>4.0</v>
      </c>
      <c r="AC157" s="1">
        <v>5.0</v>
      </c>
      <c r="AD157" s="1">
        <v>4.0</v>
      </c>
      <c r="AE157" s="1">
        <v>4.0</v>
      </c>
      <c r="AF157" s="1">
        <v>4.0</v>
      </c>
      <c r="AG157" s="1">
        <v>3.0</v>
      </c>
      <c r="AH157" s="1">
        <v>4.0</v>
      </c>
      <c r="AI157" s="1">
        <v>4.0</v>
      </c>
      <c r="AJ157" s="1">
        <v>2.0</v>
      </c>
      <c r="AK157" s="1">
        <v>4.0</v>
      </c>
      <c r="AL157" s="1">
        <v>4.0</v>
      </c>
      <c r="AM157" s="1">
        <v>4.0</v>
      </c>
      <c r="AN157" s="1">
        <v>4.0</v>
      </c>
      <c r="AO157" s="1">
        <v>4.0</v>
      </c>
      <c r="AP157" s="1">
        <v>3.0</v>
      </c>
      <c r="AQ157" s="1">
        <v>3.0</v>
      </c>
      <c r="AR157" s="1">
        <v>4.0</v>
      </c>
      <c r="AS157" s="1">
        <v>4.0</v>
      </c>
      <c r="AT157" s="1">
        <v>4.0</v>
      </c>
      <c r="AU157" s="1">
        <v>3.0</v>
      </c>
      <c r="AV157" s="1">
        <v>4.0</v>
      </c>
      <c r="AW157" s="1">
        <v>4.0</v>
      </c>
      <c r="AX157" s="1">
        <v>4.0</v>
      </c>
      <c r="AY157" s="1">
        <v>4.0</v>
      </c>
      <c r="AZ157" s="1">
        <v>5.0</v>
      </c>
      <c r="BA157" s="1">
        <v>5.0</v>
      </c>
      <c r="BB157" s="1">
        <v>5.0</v>
      </c>
      <c r="BC157" s="1">
        <v>5.0</v>
      </c>
      <c r="BD157" s="1">
        <v>5.0</v>
      </c>
      <c r="BE157" s="1">
        <v>5.0</v>
      </c>
      <c r="BF157" s="1">
        <v>5.0</v>
      </c>
      <c r="BG157" s="1">
        <v>5.0</v>
      </c>
      <c r="BH157" s="1">
        <v>4.0</v>
      </c>
      <c r="BI157" s="1">
        <v>4.0</v>
      </c>
      <c r="BJ157" s="1">
        <v>5.0</v>
      </c>
      <c r="BK157" s="1">
        <v>5.0</v>
      </c>
      <c r="BL157" s="1">
        <v>5.0</v>
      </c>
      <c r="BM157" s="1">
        <v>5.0</v>
      </c>
      <c r="BN157" s="1">
        <v>5.0</v>
      </c>
      <c r="BO157" s="1">
        <v>4.0</v>
      </c>
      <c r="BP157" s="1">
        <v>5.0</v>
      </c>
      <c r="BQ157" s="1">
        <v>4.0</v>
      </c>
      <c r="BR157" s="1">
        <v>4.0</v>
      </c>
      <c r="BS157" s="1">
        <v>4.0</v>
      </c>
      <c r="BT157" s="1">
        <v>4.0</v>
      </c>
      <c r="BU157" s="1">
        <v>5.0</v>
      </c>
      <c r="BV157" s="1">
        <v>5.0</v>
      </c>
      <c r="BW157" s="1">
        <v>4.0</v>
      </c>
      <c r="BX157" s="1">
        <v>5.0</v>
      </c>
      <c r="BY157" s="1">
        <v>5.0</v>
      </c>
      <c r="BZ157" s="1">
        <v>5.0</v>
      </c>
    </row>
    <row r="158">
      <c r="A158" s="19">
        <v>46286.56376435186</v>
      </c>
      <c r="B158" s="1" t="s">
        <v>162</v>
      </c>
      <c r="C158" s="1" t="s">
        <v>311</v>
      </c>
      <c r="D158" s="1">
        <v>2015.0</v>
      </c>
      <c r="E158" s="1" t="s">
        <v>321</v>
      </c>
      <c r="F158" s="1" t="s">
        <v>251</v>
      </c>
      <c r="G158" s="1">
        <v>3.0</v>
      </c>
      <c r="H158" s="1">
        <v>1.0</v>
      </c>
      <c r="I158" s="1">
        <v>4.0</v>
      </c>
      <c r="J158" s="1">
        <v>3.0</v>
      </c>
      <c r="K158" s="1">
        <v>2.0</v>
      </c>
      <c r="L158" s="1">
        <v>3.0</v>
      </c>
      <c r="M158" s="1">
        <v>2.0</v>
      </c>
      <c r="N158" s="1">
        <v>3.0</v>
      </c>
      <c r="O158" s="1">
        <v>4.0</v>
      </c>
      <c r="P158" s="1">
        <v>2.0</v>
      </c>
      <c r="Q158" s="1">
        <v>4.0</v>
      </c>
      <c r="R158" s="1">
        <v>2.0</v>
      </c>
      <c r="S158" s="1">
        <v>3.0</v>
      </c>
      <c r="T158" s="1">
        <v>2.0</v>
      </c>
      <c r="U158" s="1">
        <v>3.0</v>
      </c>
      <c r="V158" s="1">
        <v>2.0</v>
      </c>
      <c r="W158" s="1">
        <v>4.0</v>
      </c>
      <c r="X158" s="1">
        <v>2.0</v>
      </c>
      <c r="Y158" s="1">
        <v>3.0</v>
      </c>
      <c r="Z158" s="1">
        <v>3.0</v>
      </c>
      <c r="AA158" s="1">
        <v>3.0</v>
      </c>
      <c r="AB158" s="1">
        <v>2.0</v>
      </c>
      <c r="AC158" s="1">
        <v>3.0</v>
      </c>
      <c r="AD158" s="1">
        <v>2.0</v>
      </c>
      <c r="AE158" s="1">
        <v>4.0</v>
      </c>
      <c r="AF158" s="1">
        <v>2.0</v>
      </c>
      <c r="AG158" s="1">
        <v>3.0</v>
      </c>
      <c r="AH158" s="1">
        <v>3.0</v>
      </c>
      <c r="AI158" s="1">
        <v>3.0</v>
      </c>
      <c r="AJ158" s="1">
        <v>4.0</v>
      </c>
      <c r="AK158" s="1">
        <v>2.0</v>
      </c>
      <c r="AL158" s="1">
        <v>4.0</v>
      </c>
      <c r="AM158" s="1">
        <v>4.0</v>
      </c>
      <c r="AN158" s="1">
        <v>2.0</v>
      </c>
      <c r="AO158" s="1">
        <v>3.0</v>
      </c>
      <c r="AP158" s="1">
        <v>3.0</v>
      </c>
      <c r="AQ158" s="1">
        <v>3.0</v>
      </c>
      <c r="AR158" s="1">
        <v>3.0</v>
      </c>
      <c r="AS158" s="1">
        <v>2.0</v>
      </c>
      <c r="AT158" s="1">
        <v>3.0</v>
      </c>
      <c r="AU158" s="1">
        <v>4.0</v>
      </c>
      <c r="AV158" s="1">
        <v>4.0</v>
      </c>
      <c r="AW158" s="1">
        <v>2.0</v>
      </c>
      <c r="AX158" s="1">
        <v>3.0</v>
      </c>
      <c r="AY158" s="1">
        <v>2.0</v>
      </c>
      <c r="AZ158" s="1">
        <v>4.0</v>
      </c>
      <c r="BA158" s="1">
        <v>2.0</v>
      </c>
      <c r="BB158" s="1">
        <v>4.0</v>
      </c>
      <c r="BC158" s="1">
        <v>3.0</v>
      </c>
      <c r="BD158" s="1">
        <v>1.0</v>
      </c>
      <c r="BE158" s="1">
        <v>3.0</v>
      </c>
      <c r="BF158" s="1">
        <v>4.0</v>
      </c>
      <c r="BG158" s="1">
        <v>4.0</v>
      </c>
      <c r="BH158" s="1">
        <v>4.0</v>
      </c>
      <c r="BI158" s="1">
        <v>2.0</v>
      </c>
      <c r="BJ158" s="1">
        <v>3.0</v>
      </c>
      <c r="BK158" s="1">
        <v>2.0</v>
      </c>
      <c r="BL158" s="1">
        <v>3.0</v>
      </c>
      <c r="BM158" s="1">
        <v>3.0</v>
      </c>
      <c r="BN158" s="1">
        <v>3.0</v>
      </c>
      <c r="BO158" s="1">
        <v>2.0</v>
      </c>
      <c r="BP158" s="1">
        <v>4.0</v>
      </c>
      <c r="BQ158" s="1">
        <v>2.0</v>
      </c>
      <c r="BR158" s="1">
        <v>3.0</v>
      </c>
      <c r="BS158" s="1">
        <v>3.0</v>
      </c>
      <c r="BT158" s="1">
        <v>3.0</v>
      </c>
      <c r="BU158" s="1">
        <v>3.0</v>
      </c>
      <c r="BV158" s="1">
        <v>3.0</v>
      </c>
      <c r="BW158" s="1">
        <v>4.0</v>
      </c>
      <c r="BX158" s="1">
        <v>3.0</v>
      </c>
      <c r="BY158" s="1">
        <v>2.0</v>
      </c>
      <c r="BZ158" s="1">
        <v>3.0</v>
      </c>
    </row>
    <row r="159">
      <c r="A159" s="19">
        <v>46286.565048020835</v>
      </c>
      <c r="B159" s="1" t="s">
        <v>162</v>
      </c>
      <c r="C159" s="1" t="s">
        <v>858</v>
      </c>
      <c r="D159" s="20" t="s">
        <v>840</v>
      </c>
      <c r="E159" s="1" t="s">
        <v>207</v>
      </c>
      <c r="F159" s="1" t="s">
        <v>208</v>
      </c>
      <c r="G159" s="1">
        <v>3.0</v>
      </c>
      <c r="H159" s="1">
        <v>3.0</v>
      </c>
      <c r="I159" s="1">
        <v>3.0</v>
      </c>
      <c r="J159" s="1">
        <v>3.0</v>
      </c>
      <c r="K159" s="1">
        <v>3.0</v>
      </c>
      <c r="L159" s="1">
        <v>3.0</v>
      </c>
      <c r="M159" s="1">
        <v>3.0</v>
      </c>
      <c r="N159" s="1">
        <v>3.0</v>
      </c>
      <c r="O159" s="1">
        <v>3.0</v>
      </c>
      <c r="P159" s="1">
        <v>3.0</v>
      </c>
      <c r="Q159" s="1">
        <v>3.0</v>
      </c>
      <c r="R159" s="1">
        <v>3.0</v>
      </c>
      <c r="S159" s="1">
        <v>3.0</v>
      </c>
      <c r="T159" s="1">
        <v>3.0</v>
      </c>
      <c r="U159" s="1">
        <v>3.0</v>
      </c>
      <c r="V159" s="1">
        <v>3.0</v>
      </c>
      <c r="W159" s="1">
        <v>3.0</v>
      </c>
      <c r="X159" s="1">
        <v>3.0</v>
      </c>
      <c r="Y159" s="1">
        <v>3.0</v>
      </c>
      <c r="Z159" s="1">
        <v>3.0</v>
      </c>
      <c r="AA159" s="1">
        <v>3.0</v>
      </c>
      <c r="AB159" s="1">
        <v>3.0</v>
      </c>
      <c r="AC159" s="1">
        <v>3.0</v>
      </c>
      <c r="AD159" s="1">
        <v>3.0</v>
      </c>
      <c r="AE159" s="1">
        <v>3.0</v>
      </c>
      <c r="AF159" s="1">
        <v>3.0</v>
      </c>
      <c r="AG159" s="1">
        <v>3.0</v>
      </c>
      <c r="AH159" s="1">
        <v>3.0</v>
      </c>
      <c r="AI159" s="1">
        <v>3.0</v>
      </c>
      <c r="AJ159" s="1">
        <v>3.0</v>
      </c>
      <c r="AK159" s="1">
        <v>3.0</v>
      </c>
      <c r="AL159" s="1">
        <v>3.0</v>
      </c>
      <c r="AM159" s="1">
        <v>3.0</v>
      </c>
      <c r="AN159" s="1">
        <v>3.0</v>
      </c>
      <c r="AO159" s="1">
        <v>3.0</v>
      </c>
      <c r="AP159" s="1">
        <v>3.0</v>
      </c>
      <c r="AQ159" s="1">
        <v>3.0</v>
      </c>
      <c r="AR159" s="1">
        <v>3.0</v>
      </c>
      <c r="AS159" s="1">
        <v>3.0</v>
      </c>
      <c r="AT159" s="1">
        <v>3.0</v>
      </c>
      <c r="AU159" s="1">
        <v>3.0</v>
      </c>
      <c r="AV159" s="1">
        <v>3.0</v>
      </c>
      <c r="AW159" s="1">
        <v>3.0</v>
      </c>
      <c r="AX159" s="1">
        <v>3.0</v>
      </c>
      <c r="AY159" s="1">
        <v>3.0</v>
      </c>
      <c r="AZ159" s="1">
        <v>3.0</v>
      </c>
      <c r="BA159" s="1">
        <v>3.0</v>
      </c>
      <c r="BB159" s="1">
        <v>3.0</v>
      </c>
      <c r="BC159" s="1">
        <v>3.0</v>
      </c>
      <c r="BD159" s="1">
        <v>3.0</v>
      </c>
      <c r="BE159" s="1">
        <v>3.0</v>
      </c>
      <c r="BF159" s="1">
        <v>3.0</v>
      </c>
      <c r="BG159" s="1">
        <v>3.0</v>
      </c>
      <c r="BH159" s="1">
        <v>3.0</v>
      </c>
      <c r="BI159" s="1">
        <v>3.0</v>
      </c>
      <c r="BJ159" s="1">
        <v>3.0</v>
      </c>
      <c r="BK159" s="1">
        <v>3.0</v>
      </c>
      <c r="BL159" s="1">
        <v>3.0</v>
      </c>
      <c r="BM159" s="1">
        <v>3.0</v>
      </c>
      <c r="BN159" s="1">
        <v>3.0</v>
      </c>
      <c r="BO159" s="1">
        <v>3.0</v>
      </c>
      <c r="BP159" s="1">
        <v>3.0</v>
      </c>
      <c r="BQ159" s="1">
        <v>3.0</v>
      </c>
      <c r="BR159" s="1">
        <v>3.0</v>
      </c>
      <c r="BS159" s="1">
        <v>3.0</v>
      </c>
      <c r="BT159" s="1">
        <v>3.0</v>
      </c>
      <c r="BU159" s="1">
        <v>3.0</v>
      </c>
      <c r="BV159" s="1">
        <v>3.0</v>
      </c>
      <c r="BW159" s="1">
        <v>3.0</v>
      </c>
      <c r="BX159" s="1">
        <v>3.0</v>
      </c>
      <c r="BY159" s="1">
        <v>3.0</v>
      </c>
      <c r="BZ159" s="1">
        <v>3.0</v>
      </c>
    </row>
    <row r="160">
      <c r="A160" s="19">
        <v>46286.565145138884</v>
      </c>
      <c r="B160" s="1" t="s">
        <v>162</v>
      </c>
      <c r="C160" s="1" t="s">
        <v>862</v>
      </c>
      <c r="D160" s="1">
        <v>2005.0</v>
      </c>
      <c r="F160" s="1" t="s">
        <v>301</v>
      </c>
      <c r="G160" s="1">
        <v>5.0</v>
      </c>
      <c r="H160" s="1">
        <v>4.0</v>
      </c>
      <c r="I160" s="1">
        <v>5.0</v>
      </c>
      <c r="J160" s="1">
        <v>5.0</v>
      </c>
      <c r="K160" s="1">
        <v>3.0</v>
      </c>
      <c r="L160" s="1">
        <v>3.0</v>
      </c>
      <c r="M160" s="1">
        <v>5.0</v>
      </c>
      <c r="N160" s="1">
        <v>3.0</v>
      </c>
      <c r="O160" s="1">
        <v>4.0</v>
      </c>
      <c r="P160" s="1">
        <v>2.0</v>
      </c>
      <c r="Q160" s="1">
        <v>2.0</v>
      </c>
      <c r="R160" s="1">
        <v>4.0</v>
      </c>
      <c r="S160" s="1">
        <v>5.0</v>
      </c>
      <c r="T160" s="1">
        <v>3.0</v>
      </c>
      <c r="U160" s="1">
        <v>5.0</v>
      </c>
      <c r="V160" s="1">
        <v>4.0</v>
      </c>
      <c r="W160" s="1">
        <v>3.0</v>
      </c>
      <c r="X160" s="1">
        <v>4.0</v>
      </c>
      <c r="Y160" s="1">
        <v>5.0</v>
      </c>
      <c r="Z160" s="1">
        <v>5.0</v>
      </c>
      <c r="AA160" s="1">
        <v>3.0</v>
      </c>
      <c r="AB160" s="1">
        <v>3.0</v>
      </c>
      <c r="AC160" s="1">
        <v>3.0</v>
      </c>
      <c r="AD160" s="1">
        <v>3.0</v>
      </c>
      <c r="AE160" s="1">
        <v>3.0</v>
      </c>
      <c r="AF160" s="1">
        <v>3.0</v>
      </c>
      <c r="AG160" s="1">
        <v>3.0</v>
      </c>
      <c r="AH160" s="1">
        <v>5.0</v>
      </c>
      <c r="AI160" s="1">
        <v>4.0</v>
      </c>
      <c r="AJ160" s="1">
        <v>3.0</v>
      </c>
      <c r="AK160" s="1">
        <v>4.0</v>
      </c>
      <c r="AL160" s="1">
        <v>3.0</v>
      </c>
      <c r="AM160" s="1">
        <v>5.0</v>
      </c>
      <c r="AN160" s="1">
        <v>4.0</v>
      </c>
      <c r="AO160" s="1">
        <v>3.0</v>
      </c>
      <c r="AP160" s="1">
        <v>2.0</v>
      </c>
      <c r="AQ160" s="1">
        <v>4.0</v>
      </c>
      <c r="AR160" s="1">
        <v>3.0</v>
      </c>
      <c r="AS160" s="1">
        <v>3.0</v>
      </c>
      <c r="AT160" s="1">
        <v>3.0</v>
      </c>
      <c r="AU160" s="1">
        <v>5.0</v>
      </c>
      <c r="AV160" s="1">
        <v>4.0</v>
      </c>
      <c r="AW160" s="1">
        <v>4.0</v>
      </c>
      <c r="AX160" s="1">
        <v>3.0</v>
      </c>
      <c r="AY160" s="1">
        <v>4.0</v>
      </c>
      <c r="AZ160" s="1">
        <v>5.0</v>
      </c>
      <c r="BA160" s="1">
        <v>4.0</v>
      </c>
      <c r="BB160" s="1">
        <v>5.0</v>
      </c>
      <c r="BC160" s="1">
        <v>4.0</v>
      </c>
      <c r="BD160" s="1">
        <v>5.0</v>
      </c>
      <c r="BE160" s="1">
        <v>5.0</v>
      </c>
      <c r="BF160" s="1">
        <v>4.0</v>
      </c>
      <c r="BG160" s="1">
        <v>4.0</v>
      </c>
      <c r="BH160" s="1">
        <v>4.0</v>
      </c>
      <c r="BI160" s="1">
        <v>4.0</v>
      </c>
      <c r="BJ160" s="1">
        <v>4.0</v>
      </c>
      <c r="BK160" s="1">
        <v>4.0</v>
      </c>
      <c r="BL160" s="1">
        <v>4.0</v>
      </c>
      <c r="BM160" s="1">
        <v>4.0</v>
      </c>
      <c r="BN160" s="1">
        <v>4.0</v>
      </c>
      <c r="BO160" s="1">
        <v>4.0</v>
      </c>
      <c r="BP160" s="1">
        <v>2.0</v>
      </c>
      <c r="BQ160" s="1">
        <v>4.0</v>
      </c>
      <c r="BR160" s="1">
        <v>5.0</v>
      </c>
      <c r="BS160" s="1">
        <v>4.0</v>
      </c>
      <c r="BT160" s="1">
        <v>4.0</v>
      </c>
      <c r="BU160" s="1">
        <v>4.0</v>
      </c>
      <c r="BV160" s="1">
        <v>3.0</v>
      </c>
      <c r="BW160" s="1">
        <v>3.0</v>
      </c>
      <c r="BX160" s="1">
        <v>4.0</v>
      </c>
      <c r="BY160" s="1">
        <v>3.0</v>
      </c>
      <c r="BZ160" s="1">
        <v>4.0</v>
      </c>
    </row>
    <row r="161">
      <c r="A161" s="19">
        <v>46286.56534752315</v>
      </c>
      <c r="B161" s="1" t="s">
        <v>162</v>
      </c>
      <c r="C161" s="1" t="s">
        <v>207</v>
      </c>
      <c r="D161" s="1">
        <v>2025.0</v>
      </c>
      <c r="E161" s="1" t="s">
        <v>173</v>
      </c>
      <c r="F161" s="1" t="s">
        <v>240</v>
      </c>
      <c r="G161" s="1">
        <v>5.0</v>
      </c>
      <c r="H161" s="1">
        <v>5.0</v>
      </c>
      <c r="I161" s="1">
        <v>5.0</v>
      </c>
      <c r="J161" s="1">
        <v>5.0</v>
      </c>
      <c r="K161" s="1">
        <v>4.0</v>
      </c>
      <c r="L161" s="1">
        <v>5.0</v>
      </c>
      <c r="M161" s="1">
        <v>5.0</v>
      </c>
      <c r="N161" s="1">
        <v>3.0</v>
      </c>
      <c r="O161" s="1">
        <v>5.0</v>
      </c>
      <c r="P161" s="1">
        <v>5.0</v>
      </c>
      <c r="Q161" s="1">
        <v>4.0</v>
      </c>
      <c r="R161" s="1">
        <v>5.0</v>
      </c>
      <c r="S161" s="1">
        <v>3.0</v>
      </c>
      <c r="T161" s="1">
        <v>5.0</v>
      </c>
      <c r="U161" s="1">
        <v>4.0</v>
      </c>
      <c r="V161" s="1">
        <v>4.0</v>
      </c>
      <c r="W161" s="1">
        <v>3.0</v>
      </c>
      <c r="X161" s="1">
        <v>3.0</v>
      </c>
      <c r="Y161" s="1">
        <v>5.0</v>
      </c>
      <c r="Z161" s="1">
        <v>3.0</v>
      </c>
      <c r="AA161" s="1">
        <v>4.0</v>
      </c>
      <c r="AB161" s="1">
        <v>5.0</v>
      </c>
      <c r="AC161" s="1">
        <v>4.0</v>
      </c>
      <c r="AD161" s="1">
        <v>5.0</v>
      </c>
      <c r="AE161" s="1">
        <v>5.0</v>
      </c>
      <c r="AF161" s="1">
        <v>3.0</v>
      </c>
      <c r="AG161" s="1">
        <v>4.0</v>
      </c>
      <c r="AH161" s="1">
        <v>5.0</v>
      </c>
      <c r="AI161" s="1">
        <v>5.0</v>
      </c>
      <c r="AJ161" s="1">
        <v>3.0</v>
      </c>
      <c r="AK161" s="1">
        <v>4.0</v>
      </c>
      <c r="AL161" s="1">
        <v>5.0</v>
      </c>
      <c r="AM161" s="1">
        <v>4.0</v>
      </c>
      <c r="AN161" s="1">
        <v>4.0</v>
      </c>
      <c r="AO161" s="1">
        <v>3.0</v>
      </c>
      <c r="AP161" s="1">
        <v>4.0</v>
      </c>
      <c r="AQ161" s="1">
        <v>4.0</v>
      </c>
      <c r="AR161" s="1">
        <v>5.0</v>
      </c>
      <c r="AS161" s="1">
        <v>5.0</v>
      </c>
      <c r="AT161" s="1">
        <v>4.0</v>
      </c>
      <c r="AU161" s="1">
        <v>4.0</v>
      </c>
      <c r="AV161" s="1">
        <v>4.0</v>
      </c>
      <c r="AW161" s="1">
        <v>3.0</v>
      </c>
      <c r="AX161" s="1">
        <v>4.0</v>
      </c>
      <c r="AY161" s="1">
        <v>5.0</v>
      </c>
      <c r="AZ161" s="1">
        <v>4.0</v>
      </c>
      <c r="BA161" s="1">
        <v>5.0</v>
      </c>
      <c r="BB161" s="1">
        <v>5.0</v>
      </c>
      <c r="BC161" s="1">
        <v>5.0</v>
      </c>
      <c r="BD161" s="1">
        <v>4.0</v>
      </c>
      <c r="BE161" s="1">
        <v>5.0</v>
      </c>
      <c r="BF161" s="1">
        <v>3.0</v>
      </c>
      <c r="BG161" s="1">
        <v>4.0</v>
      </c>
      <c r="BH161" s="1">
        <v>5.0</v>
      </c>
      <c r="BI161" s="1">
        <v>4.0</v>
      </c>
      <c r="BJ161" s="1">
        <v>4.0</v>
      </c>
      <c r="BK161" s="1">
        <v>4.0</v>
      </c>
      <c r="BL161" s="1">
        <v>5.0</v>
      </c>
      <c r="BM161" s="1">
        <v>5.0</v>
      </c>
      <c r="BN161" s="1">
        <v>5.0</v>
      </c>
      <c r="BO161" s="1">
        <v>3.0</v>
      </c>
      <c r="BP161" s="1">
        <v>4.0</v>
      </c>
      <c r="BQ161" s="1">
        <v>3.0</v>
      </c>
      <c r="BR161" s="1">
        <v>5.0</v>
      </c>
      <c r="BS161" s="1">
        <v>5.0</v>
      </c>
      <c r="BT161" s="1">
        <v>4.0</v>
      </c>
      <c r="BU161" s="1">
        <v>4.0</v>
      </c>
      <c r="BV161" s="1">
        <v>4.0</v>
      </c>
      <c r="BW161" s="1">
        <v>4.0</v>
      </c>
      <c r="BX161" s="1">
        <v>5.0</v>
      </c>
      <c r="BY161" s="1">
        <v>5.0</v>
      </c>
      <c r="BZ161" s="1">
        <v>5.0</v>
      </c>
    </row>
    <row r="162">
      <c r="A162" s="19">
        <v>46287.40013700232</v>
      </c>
      <c r="B162" s="1" t="s">
        <v>162</v>
      </c>
      <c r="C162" s="1" t="s">
        <v>869</v>
      </c>
      <c r="D162" s="1">
        <v>2025.0</v>
      </c>
      <c r="E162" s="1" t="s">
        <v>173</v>
      </c>
      <c r="F162" s="1" t="s">
        <v>870</v>
      </c>
      <c r="G162" s="1">
        <v>2.0</v>
      </c>
      <c r="H162" s="1">
        <v>2.0</v>
      </c>
      <c r="I162" s="1">
        <v>2.0</v>
      </c>
      <c r="J162" s="1">
        <v>4.0</v>
      </c>
      <c r="K162" s="1">
        <v>4.0</v>
      </c>
      <c r="L162" s="1">
        <v>3.0</v>
      </c>
      <c r="M162" s="1">
        <v>2.0</v>
      </c>
      <c r="N162" s="1">
        <v>3.0</v>
      </c>
      <c r="O162" s="1">
        <v>3.0</v>
      </c>
      <c r="P162" s="1">
        <v>3.0</v>
      </c>
      <c r="Q162" s="1">
        <v>3.0</v>
      </c>
      <c r="R162" s="1">
        <v>3.0</v>
      </c>
      <c r="S162" s="1">
        <v>3.0</v>
      </c>
      <c r="T162" s="1">
        <v>3.0</v>
      </c>
      <c r="U162" s="1">
        <v>3.0</v>
      </c>
      <c r="V162" s="1">
        <v>3.0</v>
      </c>
      <c r="W162" s="1">
        <v>3.0</v>
      </c>
      <c r="X162" s="1">
        <v>3.0</v>
      </c>
      <c r="Y162" s="1">
        <v>3.0</v>
      </c>
      <c r="Z162" s="1">
        <v>3.0</v>
      </c>
      <c r="AA162" s="1">
        <v>3.0</v>
      </c>
      <c r="AB162" s="1">
        <v>3.0</v>
      </c>
      <c r="AC162" s="1">
        <v>3.0</v>
      </c>
      <c r="AD162" s="1">
        <v>3.0</v>
      </c>
      <c r="AE162" s="1">
        <v>3.0</v>
      </c>
      <c r="AF162" s="1">
        <v>3.0</v>
      </c>
      <c r="AG162" s="1">
        <v>3.0</v>
      </c>
      <c r="AH162" s="1">
        <v>3.0</v>
      </c>
      <c r="AI162" s="1">
        <v>3.0</v>
      </c>
      <c r="AJ162" s="1">
        <v>3.0</v>
      </c>
      <c r="AK162" s="1">
        <v>3.0</v>
      </c>
      <c r="AL162" s="1">
        <v>3.0</v>
      </c>
      <c r="AM162" s="1">
        <v>3.0</v>
      </c>
      <c r="AN162" s="1">
        <v>3.0</v>
      </c>
      <c r="AO162" s="1">
        <v>3.0</v>
      </c>
      <c r="AP162" s="1">
        <v>3.0</v>
      </c>
      <c r="AQ162" s="1">
        <v>3.0</v>
      </c>
      <c r="AR162" s="1">
        <v>3.0</v>
      </c>
      <c r="AS162" s="1">
        <v>3.0</v>
      </c>
      <c r="AT162" s="1">
        <v>3.0</v>
      </c>
      <c r="AU162" s="1">
        <v>3.0</v>
      </c>
      <c r="AV162" s="1">
        <v>3.0</v>
      </c>
      <c r="AW162" s="1">
        <v>3.0</v>
      </c>
      <c r="AX162" s="1">
        <v>3.0</v>
      </c>
      <c r="AY162" s="1">
        <v>3.0</v>
      </c>
      <c r="AZ162" s="1">
        <v>3.0</v>
      </c>
      <c r="BA162" s="1">
        <v>3.0</v>
      </c>
      <c r="BB162" s="1">
        <v>3.0</v>
      </c>
      <c r="BC162" s="1">
        <v>3.0</v>
      </c>
      <c r="BD162" s="1">
        <v>3.0</v>
      </c>
      <c r="BE162" s="1">
        <v>3.0</v>
      </c>
      <c r="BF162" s="1">
        <v>3.0</v>
      </c>
      <c r="BG162" s="1">
        <v>3.0</v>
      </c>
      <c r="BH162" s="1">
        <v>3.0</v>
      </c>
      <c r="BI162" s="1">
        <v>3.0</v>
      </c>
      <c r="BJ162" s="1">
        <v>3.0</v>
      </c>
      <c r="BK162" s="1">
        <v>3.0</v>
      </c>
      <c r="BL162" s="1">
        <v>3.0</v>
      </c>
      <c r="BM162" s="1">
        <v>3.0</v>
      </c>
      <c r="BN162" s="1">
        <v>3.0</v>
      </c>
      <c r="BO162" s="1">
        <v>3.0</v>
      </c>
      <c r="BP162" s="1">
        <v>3.0</v>
      </c>
      <c r="BQ162" s="1">
        <v>3.0</v>
      </c>
      <c r="BR162" s="1">
        <v>3.0</v>
      </c>
      <c r="BS162" s="1">
        <v>3.0</v>
      </c>
      <c r="BT162" s="1">
        <v>3.0</v>
      </c>
      <c r="BU162" s="1">
        <v>3.0</v>
      </c>
      <c r="BV162" s="1">
        <v>3.0</v>
      </c>
      <c r="BW162" s="1">
        <v>3.0</v>
      </c>
      <c r="BX162" s="1">
        <v>3.0</v>
      </c>
      <c r="BY162" s="1">
        <v>3.0</v>
      </c>
      <c r="BZ162" s="1">
        <v>3.0</v>
      </c>
    </row>
    <row r="163">
      <c r="A163" s="19">
        <v>46287.40110643518</v>
      </c>
      <c r="B163" s="1" t="s">
        <v>162</v>
      </c>
      <c r="C163" s="1" t="s">
        <v>874</v>
      </c>
      <c r="D163" s="1">
        <v>2026.0</v>
      </c>
      <c r="E163" s="1" t="s">
        <v>219</v>
      </c>
      <c r="F163" s="1" t="s">
        <v>875</v>
      </c>
      <c r="G163" s="1">
        <v>3.0</v>
      </c>
      <c r="H163" s="1">
        <v>3.0</v>
      </c>
      <c r="I163" s="1">
        <v>3.0</v>
      </c>
      <c r="J163" s="1">
        <v>4.0</v>
      </c>
      <c r="K163" s="1">
        <v>3.0</v>
      </c>
      <c r="L163" s="1">
        <v>3.0</v>
      </c>
      <c r="M163" s="1">
        <v>3.0</v>
      </c>
      <c r="N163" s="1">
        <v>3.0</v>
      </c>
      <c r="O163" s="1">
        <v>3.0</v>
      </c>
      <c r="P163" s="1">
        <v>3.0</v>
      </c>
      <c r="Q163" s="1">
        <v>3.0</v>
      </c>
      <c r="R163" s="1">
        <v>3.0</v>
      </c>
      <c r="S163" s="1">
        <v>3.0</v>
      </c>
      <c r="T163" s="1">
        <v>4.0</v>
      </c>
      <c r="U163" s="1">
        <v>3.0</v>
      </c>
      <c r="V163" s="1">
        <v>4.0</v>
      </c>
      <c r="W163" s="1">
        <v>4.0</v>
      </c>
      <c r="X163" s="1">
        <v>3.0</v>
      </c>
      <c r="Y163" s="1">
        <v>3.0</v>
      </c>
      <c r="Z163" s="1">
        <v>3.0</v>
      </c>
      <c r="AA163" s="1">
        <v>3.0</v>
      </c>
      <c r="AB163" s="1">
        <v>3.0</v>
      </c>
      <c r="AC163" s="1">
        <v>3.0</v>
      </c>
      <c r="AD163" s="1">
        <v>3.0</v>
      </c>
      <c r="AE163" s="1">
        <v>3.0</v>
      </c>
      <c r="AF163" s="1">
        <v>3.0</v>
      </c>
      <c r="AG163" s="1">
        <v>3.0</v>
      </c>
      <c r="AH163" s="1">
        <v>3.0</v>
      </c>
      <c r="AI163" s="1">
        <v>3.0</v>
      </c>
      <c r="AJ163" s="1">
        <v>4.0</v>
      </c>
      <c r="AK163" s="1">
        <v>4.0</v>
      </c>
      <c r="AL163" s="1">
        <v>3.0</v>
      </c>
      <c r="AM163" s="1">
        <v>3.0</v>
      </c>
      <c r="AN163" s="1">
        <v>3.0</v>
      </c>
      <c r="AO163" s="1">
        <v>4.0</v>
      </c>
      <c r="AP163" s="1">
        <v>3.0</v>
      </c>
      <c r="AQ163" s="1">
        <v>3.0</v>
      </c>
      <c r="AR163" s="1">
        <v>3.0</v>
      </c>
      <c r="AS163" s="1">
        <v>3.0</v>
      </c>
      <c r="AT163" s="1">
        <v>3.0</v>
      </c>
      <c r="AU163" s="1">
        <v>3.0</v>
      </c>
      <c r="AV163" s="1">
        <v>3.0</v>
      </c>
      <c r="AW163" s="1">
        <v>3.0</v>
      </c>
      <c r="AX163" s="1">
        <v>4.0</v>
      </c>
      <c r="AY163" s="1">
        <v>3.0</v>
      </c>
      <c r="AZ163" s="1">
        <v>3.0</v>
      </c>
      <c r="BA163" s="1">
        <v>3.0</v>
      </c>
      <c r="BB163" s="1">
        <v>3.0</v>
      </c>
      <c r="BC163" s="1">
        <v>3.0</v>
      </c>
      <c r="BD163" s="1">
        <v>3.0</v>
      </c>
      <c r="BE163" s="1">
        <v>3.0</v>
      </c>
      <c r="BF163" s="1">
        <v>4.0</v>
      </c>
      <c r="BG163" s="1">
        <v>4.0</v>
      </c>
      <c r="BH163" s="1">
        <v>4.0</v>
      </c>
      <c r="BI163" s="1">
        <v>3.0</v>
      </c>
      <c r="BJ163" s="1">
        <v>3.0</v>
      </c>
      <c r="BK163" s="1">
        <v>3.0</v>
      </c>
      <c r="BL163" s="1">
        <v>3.0</v>
      </c>
      <c r="BM163" s="1">
        <v>4.0</v>
      </c>
      <c r="BN163" s="1">
        <v>4.0</v>
      </c>
      <c r="BO163" s="1">
        <v>3.0</v>
      </c>
      <c r="BP163" s="1">
        <v>3.0</v>
      </c>
      <c r="BQ163" s="1">
        <v>3.0</v>
      </c>
      <c r="BR163" s="1">
        <v>4.0</v>
      </c>
      <c r="BS163" s="1">
        <v>4.0</v>
      </c>
      <c r="BT163" s="1">
        <v>3.0</v>
      </c>
      <c r="BU163" s="1">
        <v>3.0</v>
      </c>
      <c r="BV163" s="1">
        <v>3.0</v>
      </c>
      <c r="BW163" s="1">
        <v>3.0</v>
      </c>
      <c r="BX163" s="1">
        <v>4.0</v>
      </c>
      <c r="BY163" s="1">
        <v>3.0</v>
      </c>
      <c r="BZ163" s="1">
        <v>3.0</v>
      </c>
    </row>
    <row r="164">
      <c r="A164" s="19">
        <v>46287.40116609954</v>
      </c>
      <c r="B164" s="1" t="s">
        <v>162</v>
      </c>
      <c r="C164" s="1" t="s">
        <v>879</v>
      </c>
      <c r="D164" s="1">
        <v>2025.0</v>
      </c>
      <c r="E164" s="1" t="s">
        <v>340</v>
      </c>
      <c r="F164" s="1" t="s">
        <v>880</v>
      </c>
      <c r="G164" s="1">
        <v>4.0</v>
      </c>
      <c r="H164" s="1">
        <v>4.0</v>
      </c>
      <c r="I164" s="1">
        <v>4.0</v>
      </c>
      <c r="J164" s="1">
        <v>4.0</v>
      </c>
      <c r="K164" s="1">
        <v>4.0</v>
      </c>
      <c r="L164" s="1">
        <v>4.0</v>
      </c>
      <c r="M164" s="1">
        <v>4.0</v>
      </c>
      <c r="N164" s="1">
        <v>4.0</v>
      </c>
      <c r="O164" s="1">
        <v>4.0</v>
      </c>
      <c r="P164" s="1">
        <v>4.0</v>
      </c>
      <c r="Q164" s="1">
        <v>4.0</v>
      </c>
      <c r="R164" s="1">
        <v>4.0</v>
      </c>
      <c r="S164" s="1">
        <v>4.0</v>
      </c>
      <c r="T164" s="1">
        <v>4.0</v>
      </c>
      <c r="U164" s="1">
        <v>4.0</v>
      </c>
      <c r="V164" s="1">
        <v>4.0</v>
      </c>
      <c r="W164" s="1">
        <v>4.0</v>
      </c>
      <c r="X164" s="1">
        <v>4.0</v>
      </c>
      <c r="Y164" s="1">
        <v>4.0</v>
      </c>
      <c r="Z164" s="1">
        <v>4.0</v>
      </c>
      <c r="AA164" s="1">
        <v>4.0</v>
      </c>
      <c r="AB164" s="1">
        <v>4.0</v>
      </c>
      <c r="AC164" s="1">
        <v>4.0</v>
      </c>
      <c r="AD164" s="1">
        <v>4.0</v>
      </c>
      <c r="AE164" s="1">
        <v>4.0</v>
      </c>
      <c r="AF164" s="1">
        <v>4.0</v>
      </c>
      <c r="AG164" s="1">
        <v>4.0</v>
      </c>
      <c r="AH164" s="1">
        <v>4.0</v>
      </c>
      <c r="AI164" s="1">
        <v>4.0</v>
      </c>
      <c r="AJ164" s="1">
        <v>4.0</v>
      </c>
      <c r="AK164" s="1">
        <v>4.0</v>
      </c>
      <c r="AL164" s="1">
        <v>4.0</v>
      </c>
      <c r="AM164" s="1">
        <v>4.0</v>
      </c>
      <c r="AN164" s="1">
        <v>4.0</v>
      </c>
      <c r="AO164" s="1">
        <v>4.0</v>
      </c>
      <c r="AP164" s="1">
        <v>4.0</v>
      </c>
      <c r="AQ164" s="1">
        <v>4.0</v>
      </c>
      <c r="AR164" s="1">
        <v>4.0</v>
      </c>
      <c r="AS164" s="1">
        <v>4.0</v>
      </c>
      <c r="AT164" s="1">
        <v>4.0</v>
      </c>
      <c r="AU164" s="1">
        <v>4.0</v>
      </c>
      <c r="AV164" s="1">
        <v>4.0</v>
      </c>
      <c r="AW164" s="1">
        <v>4.0</v>
      </c>
      <c r="AX164" s="1">
        <v>4.0</v>
      </c>
      <c r="AY164" s="1">
        <v>4.0</v>
      </c>
      <c r="AZ164" s="1">
        <v>4.0</v>
      </c>
      <c r="BA164" s="1">
        <v>4.0</v>
      </c>
      <c r="BB164" s="1">
        <v>4.0</v>
      </c>
      <c r="BC164" s="1">
        <v>4.0</v>
      </c>
      <c r="BD164" s="1">
        <v>4.0</v>
      </c>
      <c r="BE164" s="1">
        <v>4.0</v>
      </c>
      <c r="BF164" s="1">
        <v>4.0</v>
      </c>
      <c r="BG164" s="1">
        <v>4.0</v>
      </c>
      <c r="BH164" s="1">
        <v>4.0</v>
      </c>
      <c r="BI164" s="1">
        <v>4.0</v>
      </c>
      <c r="BJ164" s="1">
        <v>4.0</v>
      </c>
      <c r="BK164" s="1">
        <v>4.0</v>
      </c>
      <c r="BL164" s="1">
        <v>4.0</v>
      </c>
      <c r="BM164" s="1">
        <v>4.0</v>
      </c>
      <c r="BN164" s="1">
        <v>4.0</v>
      </c>
      <c r="BO164" s="1">
        <v>4.0</v>
      </c>
      <c r="BP164" s="1">
        <v>4.0</v>
      </c>
      <c r="BQ164" s="1">
        <v>4.0</v>
      </c>
      <c r="BR164" s="1">
        <v>4.0</v>
      </c>
      <c r="BS164" s="1">
        <v>4.0</v>
      </c>
      <c r="BT164" s="1">
        <v>4.0</v>
      </c>
      <c r="BU164" s="1">
        <v>4.0</v>
      </c>
      <c r="BV164" s="1">
        <v>4.0</v>
      </c>
      <c r="BW164" s="1">
        <v>4.0</v>
      </c>
      <c r="BX164" s="1">
        <v>4.0</v>
      </c>
      <c r="BY164" s="1">
        <v>4.0</v>
      </c>
      <c r="BZ164" s="1">
        <v>4.0</v>
      </c>
    </row>
    <row r="165">
      <c r="A165" s="19">
        <v>46287.40192467593</v>
      </c>
      <c r="B165" s="1" t="s">
        <v>162</v>
      </c>
      <c r="C165" s="1" t="s">
        <v>884</v>
      </c>
      <c r="D165" s="1">
        <v>2026.0</v>
      </c>
      <c r="E165" s="1" t="s">
        <v>374</v>
      </c>
      <c r="F165" s="1" t="s">
        <v>885</v>
      </c>
      <c r="G165" s="1">
        <v>4.0</v>
      </c>
      <c r="H165" s="1">
        <v>3.0</v>
      </c>
      <c r="I165" s="1">
        <v>2.0</v>
      </c>
      <c r="J165" s="1">
        <v>3.0</v>
      </c>
      <c r="K165" s="1">
        <v>5.0</v>
      </c>
      <c r="L165" s="1">
        <v>4.0</v>
      </c>
      <c r="M165" s="1">
        <v>3.0</v>
      </c>
      <c r="N165" s="1">
        <v>4.0</v>
      </c>
      <c r="O165" s="1">
        <v>3.0</v>
      </c>
      <c r="P165" s="1">
        <v>5.0</v>
      </c>
      <c r="Q165" s="1">
        <v>4.0</v>
      </c>
      <c r="R165" s="1">
        <v>4.0</v>
      </c>
      <c r="S165" s="1">
        <v>4.0</v>
      </c>
      <c r="T165" s="1">
        <v>4.0</v>
      </c>
      <c r="U165" s="1">
        <v>2.0</v>
      </c>
      <c r="V165" s="1">
        <v>5.0</v>
      </c>
      <c r="W165" s="1">
        <v>4.0</v>
      </c>
      <c r="X165" s="1">
        <v>4.0</v>
      </c>
      <c r="Y165" s="1">
        <v>3.0</v>
      </c>
      <c r="Z165" s="1">
        <v>4.0</v>
      </c>
      <c r="AA165" s="1">
        <v>2.0</v>
      </c>
      <c r="AB165" s="1">
        <v>5.0</v>
      </c>
      <c r="AC165" s="1">
        <v>5.0</v>
      </c>
      <c r="AD165" s="1">
        <v>3.0</v>
      </c>
      <c r="AE165" s="1">
        <v>1.0</v>
      </c>
      <c r="AF165" s="1">
        <v>4.0</v>
      </c>
      <c r="AG165" s="1">
        <v>3.0</v>
      </c>
      <c r="AH165" s="1">
        <v>5.0</v>
      </c>
      <c r="AI165" s="1">
        <v>5.0</v>
      </c>
      <c r="AJ165" s="1">
        <v>4.0</v>
      </c>
      <c r="AK165" s="1">
        <v>4.0</v>
      </c>
      <c r="AL165" s="1">
        <v>4.0</v>
      </c>
      <c r="AM165" s="1">
        <v>2.0</v>
      </c>
      <c r="AN165" s="1">
        <v>4.0</v>
      </c>
      <c r="AO165" s="1">
        <v>4.0</v>
      </c>
      <c r="AP165" s="1">
        <v>2.0</v>
      </c>
      <c r="AQ165" s="1">
        <v>4.0</v>
      </c>
      <c r="AR165" s="1">
        <v>4.0</v>
      </c>
      <c r="AS165" s="1">
        <v>4.0</v>
      </c>
      <c r="AT165" s="1">
        <v>4.0</v>
      </c>
      <c r="AU165" s="1">
        <v>4.0</v>
      </c>
      <c r="AV165" s="1">
        <v>2.0</v>
      </c>
      <c r="AW165" s="1">
        <v>2.0</v>
      </c>
      <c r="AX165" s="1">
        <v>3.0</v>
      </c>
      <c r="AY165" s="1">
        <v>5.0</v>
      </c>
      <c r="AZ165" s="1">
        <v>5.0</v>
      </c>
      <c r="BA165" s="1">
        <v>4.0</v>
      </c>
      <c r="BB165" s="1">
        <v>5.0</v>
      </c>
      <c r="BC165" s="1">
        <v>4.0</v>
      </c>
      <c r="BD165" s="1">
        <v>3.0</v>
      </c>
      <c r="BE165" s="1">
        <v>1.0</v>
      </c>
      <c r="BF165" s="1">
        <v>5.0</v>
      </c>
      <c r="BG165" s="1">
        <v>4.0</v>
      </c>
      <c r="BH165" s="1">
        <v>5.0</v>
      </c>
      <c r="BI165" s="1">
        <v>5.0</v>
      </c>
      <c r="BJ165" s="1">
        <v>4.0</v>
      </c>
      <c r="BK165" s="1">
        <v>3.0</v>
      </c>
      <c r="BL165" s="1">
        <v>4.0</v>
      </c>
      <c r="BM165" s="1">
        <v>5.0</v>
      </c>
      <c r="BN165" s="1">
        <v>2.0</v>
      </c>
      <c r="BO165" s="1">
        <v>4.0</v>
      </c>
      <c r="BP165" s="1">
        <v>2.0</v>
      </c>
      <c r="BQ165" s="1">
        <v>5.0</v>
      </c>
      <c r="BR165" s="1">
        <v>5.0</v>
      </c>
      <c r="BS165" s="1">
        <v>5.0</v>
      </c>
      <c r="BT165" s="1">
        <v>4.0</v>
      </c>
      <c r="BU165" s="1">
        <v>3.0</v>
      </c>
      <c r="BV165" s="1">
        <v>3.0</v>
      </c>
      <c r="BW165" s="1">
        <v>4.0</v>
      </c>
      <c r="BX165" s="1">
        <v>4.0</v>
      </c>
      <c r="BY165" s="1">
        <v>4.0</v>
      </c>
      <c r="BZ165" s="1">
        <v>4.0</v>
      </c>
    </row>
    <row r="166">
      <c r="A166" s="19">
        <v>46287.40201809027</v>
      </c>
      <c r="B166" s="1" t="s">
        <v>162</v>
      </c>
      <c r="C166" s="1" t="s">
        <v>889</v>
      </c>
      <c r="D166" s="1">
        <v>2025.0</v>
      </c>
      <c r="E166" s="1" t="s">
        <v>266</v>
      </c>
      <c r="F166" s="1" t="s">
        <v>890</v>
      </c>
      <c r="G166" s="1">
        <v>3.0</v>
      </c>
      <c r="H166" s="1">
        <v>2.0</v>
      </c>
      <c r="I166" s="1">
        <v>5.0</v>
      </c>
      <c r="J166" s="1">
        <v>5.0</v>
      </c>
      <c r="K166" s="1">
        <v>3.0</v>
      </c>
      <c r="L166" s="1">
        <v>3.0</v>
      </c>
      <c r="M166" s="1">
        <v>1.0</v>
      </c>
      <c r="N166" s="1">
        <v>3.0</v>
      </c>
      <c r="O166" s="1">
        <v>4.0</v>
      </c>
      <c r="P166" s="1">
        <v>4.0</v>
      </c>
      <c r="Q166" s="1">
        <v>4.0</v>
      </c>
      <c r="R166" s="1">
        <v>5.0</v>
      </c>
      <c r="S166" s="1">
        <v>3.0</v>
      </c>
      <c r="T166" s="1">
        <v>4.0</v>
      </c>
      <c r="U166" s="1">
        <v>3.0</v>
      </c>
      <c r="V166" s="1">
        <v>5.0</v>
      </c>
      <c r="W166" s="1">
        <v>5.0</v>
      </c>
      <c r="X166" s="1">
        <v>5.0</v>
      </c>
      <c r="Y166" s="1">
        <v>1.0</v>
      </c>
      <c r="Z166" s="1">
        <v>2.0</v>
      </c>
      <c r="AA166" s="1">
        <v>3.0</v>
      </c>
      <c r="AB166" s="1">
        <v>4.0</v>
      </c>
      <c r="AC166" s="1">
        <v>4.0</v>
      </c>
      <c r="AD166" s="1">
        <v>4.0</v>
      </c>
      <c r="AE166" s="1">
        <v>1.0</v>
      </c>
      <c r="AF166" s="1">
        <v>2.0</v>
      </c>
      <c r="AG166" s="1">
        <v>4.0</v>
      </c>
      <c r="AH166" s="1">
        <v>5.0</v>
      </c>
      <c r="AI166" s="1">
        <v>3.0</v>
      </c>
      <c r="AJ166" s="1">
        <v>5.0</v>
      </c>
      <c r="AK166" s="1">
        <v>2.0</v>
      </c>
      <c r="AL166" s="1">
        <v>5.0</v>
      </c>
      <c r="AM166" s="1">
        <v>3.0</v>
      </c>
      <c r="AN166" s="1">
        <v>5.0</v>
      </c>
      <c r="AO166" s="1">
        <v>3.0</v>
      </c>
      <c r="AP166" s="1">
        <v>3.0</v>
      </c>
      <c r="AQ166" s="1">
        <v>2.0</v>
      </c>
      <c r="AR166" s="1">
        <v>2.0</v>
      </c>
      <c r="AS166" s="1">
        <v>5.0</v>
      </c>
      <c r="AT166" s="1">
        <v>5.0</v>
      </c>
      <c r="AU166" s="1">
        <v>5.0</v>
      </c>
      <c r="AV166" s="1">
        <v>5.0</v>
      </c>
      <c r="AW166" s="1">
        <v>1.0</v>
      </c>
      <c r="AX166" s="1">
        <v>2.0</v>
      </c>
      <c r="AY166" s="1">
        <v>5.0</v>
      </c>
      <c r="AZ166" s="1">
        <v>5.0</v>
      </c>
      <c r="BA166" s="1">
        <v>5.0</v>
      </c>
      <c r="BB166" s="1">
        <v>5.0</v>
      </c>
      <c r="BC166" s="1">
        <v>2.0</v>
      </c>
      <c r="BD166" s="1">
        <v>3.0</v>
      </c>
      <c r="BE166" s="1">
        <v>3.0</v>
      </c>
      <c r="BF166" s="1">
        <v>5.0</v>
      </c>
      <c r="BG166" s="1">
        <v>3.0</v>
      </c>
      <c r="BH166" s="1">
        <v>5.0</v>
      </c>
      <c r="BI166" s="1">
        <v>2.0</v>
      </c>
      <c r="BJ166" s="1">
        <v>4.0</v>
      </c>
      <c r="BK166" s="1">
        <v>3.0</v>
      </c>
      <c r="BL166" s="1">
        <v>4.0</v>
      </c>
      <c r="BM166" s="1">
        <v>5.0</v>
      </c>
      <c r="BN166" s="1">
        <v>4.0</v>
      </c>
      <c r="BO166" s="1">
        <v>3.0</v>
      </c>
      <c r="BP166" s="1">
        <v>1.0</v>
      </c>
      <c r="BQ166" s="1">
        <v>3.0</v>
      </c>
      <c r="BR166" s="1">
        <v>5.0</v>
      </c>
      <c r="BS166" s="1">
        <v>5.0</v>
      </c>
      <c r="BT166" s="1">
        <v>3.0</v>
      </c>
      <c r="BU166" s="1">
        <v>1.0</v>
      </c>
      <c r="BV166" s="1">
        <v>2.0</v>
      </c>
      <c r="BW166" s="1">
        <v>3.0</v>
      </c>
      <c r="BX166" s="1">
        <v>5.0</v>
      </c>
      <c r="BY166" s="1">
        <v>5.0</v>
      </c>
      <c r="BZ166" s="1">
        <v>5.0</v>
      </c>
    </row>
    <row r="167">
      <c r="A167" s="19">
        <v>46287.40207380787</v>
      </c>
      <c r="B167" s="1" t="s">
        <v>162</v>
      </c>
      <c r="C167" s="1" t="s">
        <v>894</v>
      </c>
      <c r="D167" s="1">
        <v>2025.0</v>
      </c>
      <c r="E167" s="1" t="s">
        <v>591</v>
      </c>
      <c r="F167" s="1" t="s">
        <v>895</v>
      </c>
      <c r="G167" s="1">
        <v>4.0</v>
      </c>
      <c r="H167" s="1">
        <v>4.0</v>
      </c>
      <c r="I167" s="1">
        <v>4.0</v>
      </c>
      <c r="J167" s="1">
        <v>4.0</v>
      </c>
      <c r="K167" s="1">
        <v>3.0</v>
      </c>
      <c r="L167" s="1">
        <v>3.0</v>
      </c>
      <c r="M167" s="1">
        <v>5.0</v>
      </c>
      <c r="N167" s="1">
        <v>4.0</v>
      </c>
      <c r="O167" s="1">
        <v>4.0</v>
      </c>
      <c r="P167" s="1">
        <v>4.0</v>
      </c>
      <c r="Q167" s="1">
        <v>5.0</v>
      </c>
      <c r="R167" s="1">
        <v>4.0</v>
      </c>
      <c r="S167" s="1">
        <v>5.0</v>
      </c>
      <c r="T167" s="1">
        <v>4.0</v>
      </c>
      <c r="U167" s="1">
        <v>5.0</v>
      </c>
      <c r="V167" s="1">
        <v>4.0</v>
      </c>
      <c r="W167" s="1">
        <v>4.0</v>
      </c>
      <c r="X167" s="1">
        <v>3.0</v>
      </c>
      <c r="Y167" s="1">
        <v>4.0</v>
      </c>
      <c r="Z167" s="1">
        <v>3.0</v>
      </c>
      <c r="AA167" s="1">
        <v>5.0</v>
      </c>
      <c r="AB167" s="1">
        <v>4.0</v>
      </c>
      <c r="AC167" s="1">
        <v>4.0</v>
      </c>
      <c r="AD167" s="1">
        <v>5.0</v>
      </c>
      <c r="AE167" s="1">
        <v>4.0</v>
      </c>
      <c r="AF167" s="1">
        <v>4.0</v>
      </c>
      <c r="AG167" s="1">
        <v>4.0</v>
      </c>
      <c r="AH167" s="1">
        <v>4.0</v>
      </c>
      <c r="AI167" s="1">
        <v>4.0</v>
      </c>
      <c r="AJ167" s="1">
        <v>4.0</v>
      </c>
      <c r="AK167" s="1">
        <v>4.0</v>
      </c>
      <c r="AL167" s="1">
        <v>3.0</v>
      </c>
      <c r="AM167" s="1">
        <v>5.0</v>
      </c>
      <c r="AN167" s="1">
        <v>4.0</v>
      </c>
      <c r="AO167" s="1">
        <v>5.0</v>
      </c>
      <c r="AP167" s="1">
        <v>4.0</v>
      </c>
      <c r="AQ167" s="1">
        <v>3.0</v>
      </c>
      <c r="AR167" s="1">
        <v>4.0</v>
      </c>
      <c r="AS167" s="1">
        <v>5.0</v>
      </c>
      <c r="AT167" s="1">
        <v>4.0</v>
      </c>
      <c r="AU167" s="1">
        <v>3.0</v>
      </c>
      <c r="AV167" s="1">
        <v>5.0</v>
      </c>
      <c r="AW167" s="1">
        <v>5.0</v>
      </c>
      <c r="AX167" s="1">
        <v>3.0</v>
      </c>
      <c r="AY167" s="1">
        <v>4.0</v>
      </c>
      <c r="AZ167" s="1">
        <v>4.0</v>
      </c>
      <c r="BA167" s="1">
        <v>5.0</v>
      </c>
      <c r="BB167" s="1">
        <v>4.0</v>
      </c>
      <c r="BC167" s="1">
        <v>4.0</v>
      </c>
      <c r="BD167" s="1">
        <v>4.0</v>
      </c>
      <c r="BE167" s="1">
        <v>4.0</v>
      </c>
      <c r="BF167" s="1">
        <v>5.0</v>
      </c>
      <c r="BG167" s="1">
        <v>4.0</v>
      </c>
      <c r="BH167" s="1">
        <v>4.0</v>
      </c>
      <c r="BI167" s="1">
        <v>4.0</v>
      </c>
      <c r="BJ167" s="1">
        <v>3.0</v>
      </c>
      <c r="BK167" s="1">
        <v>5.0</v>
      </c>
      <c r="BL167" s="1">
        <v>4.0</v>
      </c>
      <c r="BM167" s="1">
        <v>3.0</v>
      </c>
      <c r="BN167" s="1">
        <v>4.0</v>
      </c>
      <c r="BO167" s="1">
        <v>5.0</v>
      </c>
      <c r="BP167" s="1">
        <v>4.0</v>
      </c>
      <c r="BQ167" s="1">
        <v>4.0</v>
      </c>
      <c r="BR167" s="1">
        <v>4.0</v>
      </c>
      <c r="BS167" s="1">
        <v>3.0</v>
      </c>
      <c r="BT167" s="1">
        <v>4.0</v>
      </c>
      <c r="BU167" s="1">
        <v>5.0</v>
      </c>
      <c r="BV167" s="1">
        <v>4.0</v>
      </c>
      <c r="BW167" s="1">
        <v>3.0</v>
      </c>
      <c r="BX167" s="1">
        <v>5.0</v>
      </c>
      <c r="BY167" s="1">
        <v>4.0</v>
      </c>
      <c r="BZ167" s="1">
        <v>4.0</v>
      </c>
    </row>
    <row r="168">
      <c r="A168" s="19">
        <v>46287.40212722222</v>
      </c>
      <c r="B168" s="1" t="s">
        <v>162</v>
      </c>
      <c r="C168" s="1" t="s">
        <v>899</v>
      </c>
      <c r="D168" s="1">
        <v>2025.0</v>
      </c>
      <c r="E168" s="1" t="s">
        <v>365</v>
      </c>
      <c r="F168" s="1" t="s">
        <v>900</v>
      </c>
      <c r="G168" s="1">
        <v>5.0</v>
      </c>
      <c r="H168" s="1">
        <v>5.0</v>
      </c>
      <c r="I168" s="1">
        <v>5.0</v>
      </c>
      <c r="J168" s="1">
        <v>5.0</v>
      </c>
      <c r="K168" s="1">
        <v>5.0</v>
      </c>
      <c r="L168" s="1">
        <v>5.0</v>
      </c>
      <c r="M168" s="1">
        <v>5.0</v>
      </c>
      <c r="N168" s="1">
        <v>5.0</v>
      </c>
      <c r="O168" s="1">
        <v>5.0</v>
      </c>
      <c r="P168" s="1">
        <v>5.0</v>
      </c>
      <c r="Q168" s="1">
        <v>5.0</v>
      </c>
      <c r="R168" s="1">
        <v>5.0</v>
      </c>
      <c r="S168" s="1">
        <v>5.0</v>
      </c>
      <c r="T168" s="1">
        <v>5.0</v>
      </c>
      <c r="U168" s="1">
        <v>5.0</v>
      </c>
      <c r="V168" s="1">
        <v>5.0</v>
      </c>
      <c r="W168" s="1">
        <v>5.0</v>
      </c>
      <c r="X168" s="1">
        <v>5.0</v>
      </c>
      <c r="Y168" s="1">
        <v>5.0</v>
      </c>
      <c r="Z168" s="1">
        <v>5.0</v>
      </c>
      <c r="AA168" s="1">
        <v>5.0</v>
      </c>
      <c r="AB168" s="1">
        <v>5.0</v>
      </c>
      <c r="AC168" s="1">
        <v>5.0</v>
      </c>
      <c r="AD168" s="1">
        <v>5.0</v>
      </c>
      <c r="AE168" s="1">
        <v>5.0</v>
      </c>
      <c r="AF168" s="1">
        <v>5.0</v>
      </c>
      <c r="AG168" s="1">
        <v>5.0</v>
      </c>
      <c r="AH168" s="1">
        <v>5.0</v>
      </c>
      <c r="AI168" s="1">
        <v>5.0</v>
      </c>
      <c r="AJ168" s="1">
        <v>5.0</v>
      </c>
      <c r="AK168" s="1">
        <v>5.0</v>
      </c>
      <c r="AL168" s="1">
        <v>5.0</v>
      </c>
      <c r="AM168" s="1">
        <v>5.0</v>
      </c>
      <c r="AN168" s="1">
        <v>5.0</v>
      </c>
      <c r="AO168" s="1">
        <v>5.0</v>
      </c>
      <c r="AP168" s="1">
        <v>5.0</v>
      </c>
      <c r="AQ168" s="1">
        <v>5.0</v>
      </c>
      <c r="AR168" s="1">
        <v>5.0</v>
      </c>
      <c r="AS168" s="1">
        <v>5.0</v>
      </c>
      <c r="AT168" s="1">
        <v>5.0</v>
      </c>
      <c r="AU168" s="1">
        <v>5.0</v>
      </c>
      <c r="AV168" s="1">
        <v>5.0</v>
      </c>
      <c r="AW168" s="1">
        <v>5.0</v>
      </c>
      <c r="AX168" s="1">
        <v>5.0</v>
      </c>
      <c r="AY168" s="1">
        <v>5.0</v>
      </c>
      <c r="AZ168" s="1">
        <v>5.0</v>
      </c>
      <c r="BA168" s="1">
        <v>5.0</v>
      </c>
      <c r="BB168" s="1">
        <v>5.0</v>
      </c>
      <c r="BC168" s="1">
        <v>5.0</v>
      </c>
      <c r="BD168" s="1">
        <v>5.0</v>
      </c>
      <c r="BE168" s="1">
        <v>5.0</v>
      </c>
      <c r="BF168" s="1">
        <v>5.0</v>
      </c>
      <c r="BG168" s="1">
        <v>5.0</v>
      </c>
      <c r="BH168" s="1">
        <v>5.0</v>
      </c>
      <c r="BI168" s="1">
        <v>5.0</v>
      </c>
      <c r="BJ168" s="1">
        <v>5.0</v>
      </c>
      <c r="BK168" s="1">
        <v>5.0</v>
      </c>
      <c r="BL168" s="1">
        <v>5.0</v>
      </c>
      <c r="BM168" s="1">
        <v>5.0</v>
      </c>
      <c r="BN168" s="1">
        <v>5.0</v>
      </c>
      <c r="BO168" s="1">
        <v>5.0</v>
      </c>
      <c r="BP168" s="1">
        <v>5.0</v>
      </c>
      <c r="BQ168" s="1">
        <v>5.0</v>
      </c>
      <c r="BR168" s="1">
        <v>5.0</v>
      </c>
      <c r="BS168" s="1">
        <v>5.0</v>
      </c>
      <c r="BT168" s="1">
        <v>5.0</v>
      </c>
      <c r="BU168" s="1">
        <v>5.0</v>
      </c>
      <c r="BV168" s="1">
        <v>5.0</v>
      </c>
      <c r="BW168" s="1">
        <v>5.0</v>
      </c>
      <c r="BX168" s="1">
        <v>5.0</v>
      </c>
      <c r="BY168" s="1">
        <v>5.0</v>
      </c>
      <c r="BZ168" s="1">
        <v>5.0</v>
      </c>
    </row>
    <row r="169">
      <c r="A169" s="19">
        <v>46287.40217810185</v>
      </c>
      <c r="B169" s="1" t="s">
        <v>162</v>
      </c>
      <c r="C169" s="1" t="s">
        <v>904</v>
      </c>
      <c r="D169" s="1">
        <v>2025.0</v>
      </c>
      <c r="E169" s="1" t="s">
        <v>296</v>
      </c>
      <c r="F169" s="1" t="s">
        <v>905</v>
      </c>
      <c r="G169" s="1">
        <v>2.0</v>
      </c>
      <c r="H169" s="1">
        <v>2.0</v>
      </c>
      <c r="I169" s="1">
        <v>4.0</v>
      </c>
      <c r="J169" s="1">
        <v>4.0</v>
      </c>
      <c r="K169" s="1">
        <v>3.0</v>
      </c>
      <c r="L169" s="1">
        <v>4.0</v>
      </c>
      <c r="M169" s="1">
        <v>2.0</v>
      </c>
      <c r="N169" s="1">
        <v>2.0</v>
      </c>
      <c r="O169" s="1">
        <v>4.0</v>
      </c>
      <c r="P169" s="1">
        <v>5.0</v>
      </c>
      <c r="Q169" s="1">
        <v>4.0</v>
      </c>
      <c r="R169" s="1">
        <v>5.0</v>
      </c>
      <c r="S169" s="1">
        <v>3.0</v>
      </c>
      <c r="T169" s="1">
        <v>4.0</v>
      </c>
      <c r="U169" s="1">
        <v>4.0</v>
      </c>
      <c r="V169" s="1">
        <v>5.0</v>
      </c>
      <c r="W169" s="1">
        <v>5.0</v>
      </c>
      <c r="X169" s="1">
        <v>4.0</v>
      </c>
      <c r="Y169" s="1">
        <v>2.0</v>
      </c>
      <c r="Z169" s="1">
        <v>2.0</v>
      </c>
      <c r="AA169" s="1">
        <v>5.0</v>
      </c>
      <c r="AB169" s="1">
        <v>5.0</v>
      </c>
      <c r="AC169" s="1">
        <v>5.0</v>
      </c>
      <c r="AD169" s="1">
        <v>5.0</v>
      </c>
      <c r="AE169" s="1">
        <v>1.0</v>
      </c>
      <c r="AF169" s="1">
        <v>1.0</v>
      </c>
      <c r="AG169" s="1">
        <v>2.0</v>
      </c>
      <c r="AH169" s="1">
        <v>5.0</v>
      </c>
      <c r="AI169" s="1">
        <v>5.0</v>
      </c>
      <c r="AJ169" s="1">
        <v>2.0</v>
      </c>
      <c r="AK169" s="1">
        <v>2.0</v>
      </c>
      <c r="AL169" s="1">
        <v>2.0</v>
      </c>
      <c r="AM169" s="1">
        <v>5.0</v>
      </c>
      <c r="AN169" s="1">
        <v>5.0</v>
      </c>
      <c r="AO169" s="1">
        <v>5.0</v>
      </c>
      <c r="AP169" s="1">
        <v>2.0</v>
      </c>
      <c r="AQ169" s="1">
        <v>2.0</v>
      </c>
      <c r="AR169" s="1">
        <v>1.0</v>
      </c>
      <c r="AS169" s="1">
        <v>5.0</v>
      </c>
      <c r="AT169" s="1">
        <v>5.0</v>
      </c>
      <c r="AU169" s="1">
        <v>4.0</v>
      </c>
      <c r="AV169" s="1">
        <v>4.0</v>
      </c>
      <c r="AW169" s="1">
        <v>1.0</v>
      </c>
      <c r="AX169" s="1">
        <v>1.0</v>
      </c>
      <c r="AY169" s="1">
        <v>5.0</v>
      </c>
      <c r="AZ169" s="1">
        <v>5.0</v>
      </c>
      <c r="BA169" s="1">
        <v>5.0</v>
      </c>
      <c r="BB169" s="1">
        <v>5.0</v>
      </c>
      <c r="BC169" s="1">
        <v>4.0</v>
      </c>
      <c r="BD169" s="1">
        <v>4.0</v>
      </c>
      <c r="BE169" s="1">
        <v>4.0</v>
      </c>
      <c r="BF169" s="1">
        <v>5.0</v>
      </c>
      <c r="BG169" s="1">
        <v>5.0</v>
      </c>
      <c r="BH169" s="1">
        <v>4.0</v>
      </c>
      <c r="BI169" s="1">
        <v>3.0</v>
      </c>
      <c r="BJ169" s="1">
        <v>4.0</v>
      </c>
      <c r="BK169" s="1">
        <v>4.0</v>
      </c>
      <c r="BL169" s="1">
        <v>4.0</v>
      </c>
      <c r="BM169" s="1">
        <v>5.0</v>
      </c>
      <c r="BN169" s="1">
        <v>4.0</v>
      </c>
      <c r="BO169" s="1">
        <v>1.0</v>
      </c>
      <c r="BP169" s="1">
        <v>2.0</v>
      </c>
      <c r="BQ169" s="1">
        <v>4.0</v>
      </c>
      <c r="BR169" s="1">
        <v>4.0</v>
      </c>
      <c r="BS169" s="1">
        <v>3.0</v>
      </c>
      <c r="BT169" s="1">
        <v>4.0</v>
      </c>
      <c r="BU169" s="1">
        <v>4.0</v>
      </c>
      <c r="BV169" s="1">
        <v>3.0</v>
      </c>
      <c r="BW169" s="1">
        <v>4.0</v>
      </c>
      <c r="BX169" s="1">
        <v>5.0</v>
      </c>
      <c r="BY169" s="1">
        <v>5.0</v>
      </c>
      <c r="BZ169" s="1">
        <v>2.0</v>
      </c>
    </row>
    <row r="170">
      <c r="A170" s="19">
        <v>46287.402196967596</v>
      </c>
      <c r="B170" s="1" t="s">
        <v>162</v>
      </c>
      <c r="C170" s="1" t="s">
        <v>906</v>
      </c>
      <c r="D170" s="1">
        <v>2025.0</v>
      </c>
      <c r="E170" s="1" t="s">
        <v>189</v>
      </c>
      <c r="F170" s="1" t="s">
        <v>907</v>
      </c>
      <c r="G170" s="1">
        <v>3.0</v>
      </c>
      <c r="H170" s="1">
        <v>5.0</v>
      </c>
      <c r="I170" s="1">
        <v>2.0</v>
      </c>
      <c r="J170" s="1">
        <v>5.0</v>
      </c>
      <c r="K170" s="1">
        <v>5.0</v>
      </c>
      <c r="L170" s="1">
        <v>5.0</v>
      </c>
      <c r="M170" s="1">
        <v>3.0</v>
      </c>
      <c r="N170" s="1">
        <v>4.0</v>
      </c>
      <c r="O170" s="1">
        <v>4.0</v>
      </c>
      <c r="P170" s="1">
        <v>4.0</v>
      </c>
      <c r="Q170" s="1">
        <v>5.0</v>
      </c>
      <c r="R170" s="1">
        <v>5.0</v>
      </c>
      <c r="S170" s="1">
        <v>4.0</v>
      </c>
      <c r="T170" s="1">
        <v>4.0</v>
      </c>
      <c r="U170" s="1">
        <v>2.0</v>
      </c>
      <c r="V170" s="1">
        <v>4.0</v>
      </c>
      <c r="W170" s="1">
        <v>4.0</v>
      </c>
      <c r="X170" s="1">
        <v>3.0</v>
      </c>
      <c r="Y170" s="1">
        <v>3.0</v>
      </c>
      <c r="Z170" s="1">
        <v>5.0</v>
      </c>
      <c r="AA170" s="1">
        <v>5.0</v>
      </c>
      <c r="AB170" s="1">
        <v>5.0</v>
      </c>
      <c r="AC170" s="1">
        <v>5.0</v>
      </c>
      <c r="AD170" s="1">
        <v>4.0</v>
      </c>
      <c r="AE170" s="1">
        <v>5.0</v>
      </c>
      <c r="AF170" s="1">
        <v>5.0</v>
      </c>
      <c r="AG170" s="1">
        <v>5.0</v>
      </c>
      <c r="AH170" s="1">
        <v>5.0</v>
      </c>
      <c r="AI170" s="1">
        <v>5.0</v>
      </c>
      <c r="AJ170" s="1">
        <v>4.0</v>
      </c>
      <c r="AK170" s="1">
        <v>3.0</v>
      </c>
      <c r="AL170" s="1">
        <v>4.0</v>
      </c>
      <c r="AM170" s="1">
        <v>2.0</v>
      </c>
      <c r="AN170" s="1">
        <v>4.0</v>
      </c>
      <c r="AO170" s="1">
        <v>5.0</v>
      </c>
      <c r="AP170" s="1">
        <v>3.0</v>
      </c>
      <c r="AQ170" s="1">
        <v>3.0</v>
      </c>
      <c r="AR170" s="1">
        <v>4.0</v>
      </c>
      <c r="AS170" s="1">
        <v>4.0</v>
      </c>
      <c r="AT170" s="1">
        <v>4.0</v>
      </c>
      <c r="AU170" s="1">
        <v>5.0</v>
      </c>
      <c r="AV170" s="1">
        <v>5.0</v>
      </c>
      <c r="AW170" s="1">
        <v>3.0</v>
      </c>
      <c r="AX170" s="1">
        <v>4.0</v>
      </c>
      <c r="AY170" s="1">
        <v>4.0</v>
      </c>
      <c r="AZ170" s="1">
        <v>4.0</v>
      </c>
      <c r="BA170" s="1">
        <v>5.0</v>
      </c>
      <c r="BB170" s="1">
        <v>5.0</v>
      </c>
      <c r="BC170" s="1">
        <v>4.0</v>
      </c>
      <c r="BD170" s="1">
        <v>4.0</v>
      </c>
      <c r="BE170" s="1">
        <v>2.0</v>
      </c>
      <c r="BF170" s="1">
        <v>4.0</v>
      </c>
      <c r="BG170" s="1">
        <v>4.0</v>
      </c>
      <c r="BH170" s="1">
        <v>4.0</v>
      </c>
      <c r="BI170" s="1">
        <v>4.0</v>
      </c>
      <c r="BJ170" s="1">
        <v>4.0</v>
      </c>
      <c r="BK170" s="1">
        <v>5.0</v>
      </c>
      <c r="BL170" s="1">
        <v>5.0</v>
      </c>
      <c r="BM170" s="1">
        <v>5.0</v>
      </c>
      <c r="BN170" s="1">
        <v>5.0</v>
      </c>
      <c r="BO170" s="1">
        <v>5.0</v>
      </c>
      <c r="BP170" s="1">
        <v>5.0</v>
      </c>
      <c r="BQ170" s="1">
        <v>5.0</v>
      </c>
      <c r="BR170" s="1">
        <v>4.0</v>
      </c>
      <c r="BS170" s="1">
        <v>4.0</v>
      </c>
      <c r="BT170" s="1">
        <v>4.0</v>
      </c>
      <c r="BU170" s="1">
        <v>3.0</v>
      </c>
      <c r="BV170" s="1">
        <v>4.0</v>
      </c>
      <c r="BW170" s="1">
        <v>4.0</v>
      </c>
      <c r="BX170" s="1">
        <v>4.0</v>
      </c>
      <c r="BY170" s="1">
        <v>4.0</v>
      </c>
      <c r="BZ170" s="1">
        <v>4.0</v>
      </c>
    </row>
    <row r="171">
      <c r="A171" s="19">
        <v>46287.40234208333</v>
      </c>
      <c r="B171" s="1" t="s">
        <v>162</v>
      </c>
      <c r="C171" s="1" t="s">
        <v>908</v>
      </c>
      <c r="D171" s="1">
        <v>2025.0</v>
      </c>
      <c r="E171" s="1" t="s">
        <v>591</v>
      </c>
      <c r="F171" s="1" t="s">
        <v>909</v>
      </c>
      <c r="G171" s="1">
        <v>4.0</v>
      </c>
      <c r="H171" s="1">
        <v>4.0</v>
      </c>
      <c r="I171" s="1">
        <v>2.0</v>
      </c>
      <c r="J171" s="1">
        <v>4.0</v>
      </c>
      <c r="K171" s="1">
        <v>3.0</v>
      </c>
      <c r="L171" s="1">
        <v>3.0</v>
      </c>
      <c r="M171" s="1">
        <v>3.0</v>
      </c>
      <c r="N171" s="1">
        <v>4.0</v>
      </c>
      <c r="O171" s="1">
        <v>3.0</v>
      </c>
      <c r="P171" s="1">
        <v>4.0</v>
      </c>
      <c r="Q171" s="1">
        <v>3.0</v>
      </c>
      <c r="R171" s="1">
        <v>3.0</v>
      </c>
      <c r="S171" s="1">
        <v>1.0</v>
      </c>
      <c r="T171" s="1">
        <v>4.0</v>
      </c>
      <c r="U171" s="1">
        <v>3.0</v>
      </c>
      <c r="V171" s="1">
        <v>4.0</v>
      </c>
      <c r="W171" s="1">
        <v>4.0</v>
      </c>
      <c r="X171" s="1">
        <v>4.0</v>
      </c>
      <c r="Y171" s="1">
        <v>4.0</v>
      </c>
      <c r="Z171" s="1">
        <v>4.0</v>
      </c>
      <c r="AA171" s="1">
        <v>4.0</v>
      </c>
      <c r="AB171" s="1">
        <v>4.0</v>
      </c>
      <c r="AC171" s="1">
        <v>4.0</v>
      </c>
      <c r="AD171" s="1">
        <v>3.0</v>
      </c>
      <c r="AE171" s="1">
        <v>3.0</v>
      </c>
      <c r="AF171" s="1">
        <v>4.0</v>
      </c>
      <c r="AG171" s="1">
        <v>3.0</v>
      </c>
      <c r="AH171" s="1">
        <v>4.0</v>
      </c>
      <c r="AI171" s="1">
        <v>3.0</v>
      </c>
      <c r="AJ171" s="1">
        <v>4.0</v>
      </c>
      <c r="AK171" s="1">
        <v>4.0</v>
      </c>
      <c r="AL171" s="1">
        <v>3.0</v>
      </c>
      <c r="AM171" s="1">
        <v>2.0</v>
      </c>
      <c r="AN171" s="1">
        <v>4.0</v>
      </c>
      <c r="AO171" s="1">
        <v>4.0</v>
      </c>
      <c r="AP171" s="1">
        <v>4.0</v>
      </c>
      <c r="AQ171" s="1">
        <v>2.0</v>
      </c>
      <c r="AR171" s="1">
        <v>3.0</v>
      </c>
      <c r="AS171" s="1">
        <v>4.0</v>
      </c>
      <c r="AT171" s="1">
        <v>4.0</v>
      </c>
      <c r="AU171" s="1">
        <v>4.0</v>
      </c>
      <c r="AV171" s="1">
        <v>4.0</v>
      </c>
      <c r="AW171" s="1">
        <v>4.0</v>
      </c>
      <c r="AX171" s="1">
        <v>4.0</v>
      </c>
      <c r="AY171" s="1">
        <v>4.0</v>
      </c>
      <c r="AZ171" s="1">
        <v>4.0</v>
      </c>
      <c r="BA171" s="1">
        <v>3.0</v>
      </c>
      <c r="BB171" s="1">
        <v>4.0</v>
      </c>
      <c r="BC171" s="1">
        <v>3.0</v>
      </c>
      <c r="BD171" s="1">
        <v>3.0</v>
      </c>
      <c r="BE171" s="1">
        <v>3.0</v>
      </c>
      <c r="BF171" s="1">
        <v>4.0</v>
      </c>
      <c r="BG171" s="1">
        <v>3.0</v>
      </c>
      <c r="BH171" s="1">
        <v>4.0</v>
      </c>
      <c r="BI171" s="1">
        <v>4.0</v>
      </c>
      <c r="BJ171" s="1">
        <v>3.0</v>
      </c>
      <c r="BK171" s="1">
        <v>3.0</v>
      </c>
      <c r="BL171" s="1">
        <v>4.0</v>
      </c>
      <c r="BM171" s="1">
        <v>4.0</v>
      </c>
      <c r="BN171" s="1">
        <v>4.0</v>
      </c>
      <c r="BO171" s="1">
        <v>4.0</v>
      </c>
      <c r="BP171" s="1">
        <v>3.0</v>
      </c>
      <c r="BQ171" s="1">
        <v>3.0</v>
      </c>
      <c r="BR171" s="1">
        <v>4.0</v>
      </c>
      <c r="BS171" s="1">
        <v>4.0</v>
      </c>
      <c r="BT171" s="1">
        <v>4.0</v>
      </c>
      <c r="BU171" s="1">
        <v>4.0</v>
      </c>
      <c r="BV171" s="1">
        <v>4.0</v>
      </c>
      <c r="BW171" s="1">
        <v>4.0</v>
      </c>
      <c r="BX171" s="1">
        <v>4.0</v>
      </c>
      <c r="BY171" s="1">
        <v>4.0</v>
      </c>
      <c r="BZ171" s="1">
        <v>4.0</v>
      </c>
    </row>
    <row r="172">
      <c r="A172" s="19">
        <v>46287.40236893519</v>
      </c>
      <c r="B172" s="1" t="s">
        <v>162</v>
      </c>
      <c r="C172" s="1" t="s">
        <v>913</v>
      </c>
      <c r="D172" s="1">
        <v>2025.0</v>
      </c>
      <c r="E172" s="1" t="s">
        <v>914</v>
      </c>
      <c r="F172" s="1" t="s">
        <v>915</v>
      </c>
      <c r="G172" s="1">
        <v>4.0</v>
      </c>
      <c r="H172" s="1">
        <v>4.0</v>
      </c>
      <c r="I172" s="1">
        <v>4.0</v>
      </c>
      <c r="J172" s="1">
        <v>4.0</v>
      </c>
      <c r="K172" s="1">
        <v>4.0</v>
      </c>
      <c r="L172" s="1">
        <v>3.0</v>
      </c>
      <c r="M172" s="1">
        <v>3.0</v>
      </c>
      <c r="N172" s="1">
        <v>4.0</v>
      </c>
      <c r="O172" s="1">
        <v>4.0</v>
      </c>
      <c r="P172" s="1">
        <v>4.0</v>
      </c>
      <c r="Q172" s="1">
        <v>3.0</v>
      </c>
      <c r="R172" s="1">
        <v>4.0</v>
      </c>
      <c r="S172" s="1">
        <v>4.0</v>
      </c>
      <c r="T172" s="1">
        <v>4.0</v>
      </c>
      <c r="U172" s="1">
        <v>3.0</v>
      </c>
      <c r="V172" s="1">
        <v>3.0</v>
      </c>
      <c r="W172" s="1">
        <v>4.0</v>
      </c>
      <c r="X172" s="1">
        <v>3.0</v>
      </c>
      <c r="Y172" s="1">
        <v>4.0</v>
      </c>
      <c r="Z172" s="1">
        <v>5.0</v>
      </c>
      <c r="AA172" s="1">
        <v>5.0</v>
      </c>
      <c r="AB172" s="1">
        <v>5.0</v>
      </c>
      <c r="AC172" s="1">
        <v>4.0</v>
      </c>
      <c r="AD172" s="1">
        <v>3.0</v>
      </c>
      <c r="AE172" s="1">
        <v>5.0</v>
      </c>
      <c r="AF172" s="1">
        <v>3.0</v>
      </c>
      <c r="AG172" s="1">
        <v>3.0</v>
      </c>
      <c r="AH172" s="1">
        <v>4.0</v>
      </c>
      <c r="AI172" s="1">
        <v>3.0</v>
      </c>
      <c r="AJ172" s="1">
        <v>3.0</v>
      </c>
      <c r="AK172" s="1">
        <v>4.0</v>
      </c>
      <c r="AL172" s="1">
        <v>3.0</v>
      </c>
      <c r="AM172" s="1">
        <v>3.0</v>
      </c>
      <c r="AN172" s="1">
        <v>3.0</v>
      </c>
      <c r="AO172" s="1">
        <v>4.0</v>
      </c>
      <c r="AP172" s="1">
        <v>3.0</v>
      </c>
      <c r="AQ172" s="1">
        <v>4.0</v>
      </c>
      <c r="AR172" s="1">
        <v>3.0</v>
      </c>
      <c r="AS172" s="1">
        <v>3.0</v>
      </c>
      <c r="AT172" s="1">
        <v>4.0</v>
      </c>
      <c r="AU172" s="1">
        <v>4.0</v>
      </c>
      <c r="AV172" s="1">
        <v>4.0</v>
      </c>
      <c r="AW172" s="1">
        <v>4.0</v>
      </c>
      <c r="AX172" s="1">
        <v>3.0</v>
      </c>
      <c r="AY172" s="1">
        <v>5.0</v>
      </c>
      <c r="AZ172" s="1">
        <v>4.0</v>
      </c>
      <c r="BA172" s="1">
        <v>5.0</v>
      </c>
      <c r="BB172" s="1">
        <v>5.0</v>
      </c>
      <c r="BC172" s="1">
        <v>3.0</v>
      </c>
      <c r="BD172" s="1">
        <v>4.0</v>
      </c>
      <c r="BE172" s="1">
        <v>3.0</v>
      </c>
      <c r="BF172" s="1">
        <v>5.0</v>
      </c>
      <c r="BG172" s="1">
        <v>5.0</v>
      </c>
      <c r="BH172" s="1">
        <v>4.0</v>
      </c>
      <c r="BI172" s="1">
        <v>4.0</v>
      </c>
      <c r="BJ172" s="1">
        <v>4.0</v>
      </c>
      <c r="BK172" s="1">
        <v>4.0</v>
      </c>
      <c r="BL172" s="1">
        <v>4.0</v>
      </c>
      <c r="BM172" s="1">
        <v>4.0</v>
      </c>
      <c r="BN172" s="1">
        <v>4.0</v>
      </c>
      <c r="BO172" s="1">
        <v>3.0</v>
      </c>
      <c r="BP172" s="1">
        <v>4.0</v>
      </c>
      <c r="BQ172" s="1">
        <v>3.0</v>
      </c>
      <c r="BR172" s="1">
        <v>4.0</v>
      </c>
      <c r="BS172" s="1">
        <v>4.0</v>
      </c>
      <c r="BT172" s="1">
        <v>4.0</v>
      </c>
      <c r="BU172" s="1">
        <v>4.0</v>
      </c>
      <c r="BV172" s="1">
        <v>4.0</v>
      </c>
      <c r="BW172" s="1">
        <v>5.0</v>
      </c>
      <c r="BX172" s="1">
        <v>3.0</v>
      </c>
      <c r="BY172" s="1">
        <v>4.0</v>
      </c>
      <c r="BZ172" s="1">
        <v>4.0</v>
      </c>
    </row>
    <row r="173">
      <c r="A173" s="19">
        <v>46287.402421481485</v>
      </c>
      <c r="B173" s="1" t="s">
        <v>162</v>
      </c>
      <c r="C173" s="1" t="s">
        <v>916</v>
      </c>
      <c r="D173" s="1">
        <v>2025.0</v>
      </c>
      <c r="E173" s="1" t="s">
        <v>239</v>
      </c>
      <c r="F173" s="1" t="s">
        <v>917</v>
      </c>
      <c r="G173" s="1">
        <v>5.0</v>
      </c>
      <c r="H173" s="1">
        <v>5.0</v>
      </c>
      <c r="I173" s="1">
        <v>3.0</v>
      </c>
      <c r="J173" s="1">
        <v>5.0</v>
      </c>
      <c r="K173" s="1">
        <v>5.0</v>
      </c>
      <c r="L173" s="1">
        <v>5.0</v>
      </c>
      <c r="M173" s="1">
        <v>5.0</v>
      </c>
      <c r="N173" s="1">
        <v>5.0</v>
      </c>
      <c r="O173" s="1">
        <v>5.0</v>
      </c>
      <c r="P173" s="1">
        <v>5.0</v>
      </c>
      <c r="Q173" s="1">
        <v>4.0</v>
      </c>
      <c r="R173" s="1">
        <v>4.0</v>
      </c>
      <c r="S173" s="1">
        <v>5.0</v>
      </c>
      <c r="T173" s="1">
        <v>5.0</v>
      </c>
      <c r="U173" s="1">
        <v>3.0</v>
      </c>
      <c r="V173" s="1">
        <v>5.0</v>
      </c>
      <c r="W173" s="1">
        <v>5.0</v>
      </c>
      <c r="X173" s="1">
        <v>4.0</v>
      </c>
      <c r="Y173" s="1">
        <v>5.0</v>
      </c>
      <c r="Z173" s="1">
        <v>5.0</v>
      </c>
      <c r="AA173" s="1">
        <v>5.0</v>
      </c>
      <c r="AB173" s="1">
        <v>5.0</v>
      </c>
      <c r="AC173" s="1">
        <v>5.0</v>
      </c>
      <c r="AD173" s="1">
        <v>5.0</v>
      </c>
      <c r="AE173" s="1">
        <v>5.0</v>
      </c>
      <c r="AF173" s="1">
        <v>5.0</v>
      </c>
      <c r="AG173" s="1">
        <v>5.0</v>
      </c>
      <c r="AH173" s="1">
        <v>5.0</v>
      </c>
      <c r="AI173" s="1">
        <v>5.0</v>
      </c>
      <c r="AJ173" s="1">
        <v>5.0</v>
      </c>
      <c r="AK173" s="1">
        <v>5.0</v>
      </c>
      <c r="AL173" s="1">
        <v>5.0</v>
      </c>
      <c r="AM173" s="1">
        <v>3.0</v>
      </c>
      <c r="AN173" s="1">
        <v>5.0</v>
      </c>
      <c r="AO173" s="1">
        <v>4.0</v>
      </c>
      <c r="AP173" s="1">
        <v>5.0</v>
      </c>
      <c r="AQ173" s="1">
        <v>5.0</v>
      </c>
      <c r="AR173" s="1">
        <v>5.0</v>
      </c>
      <c r="AS173" s="1">
        <v>5.0</v>
      </c>
      <c r="AT173" s="1">
        <v>5.0</v>
      </c>
      <c r="AU173" s="1">
        <v>5.0</v>
      </c>
      <c r="AV173" s="1">
        <v>5.0</v>
      </c>
      <c r="AW173" s="1">
        <v>5.0</v>
      </c>
      <c r="AX173" s="1">
        <v>5.0</v>
      </c>
      <c r="AY173" s="1">
        <v>5.0</v>
      </c>
      <c r="AZ173" s="1">
        <v>5.0</v>
      </c>
      <c r="BA173" s="1">
        <v>5.0</v>
      </c>
      <c r="BB173" s="1">
        <v>5.0</v>
      </c>
      <c r="BC173" s="1">
        <v>5.0</v>
      </c>
      <c r="BD173" s="1">
        <v>5.0</v>
      </c>
      <c r="BE173" s="1">
        <v>3.0</v>
      </c>
      <c r="BF173" s="1">
        <v>5.0</v>
      </c>
      <c r="BG173" s="1">
        <v>5.0</v>
      </c>
      <c r="BH173" s="1">
        <v>5.0</v>
      </c>
      <c r="BI173" s="1">
        <v>4.0</v>
      </c>
      <c r="BJ173" s="1">
        <v>5.0</v>
      </c>
      <c r="BK173" s="1">
        <v>5.0</v>
      </c>
      <c r="BL173" s="1">
        <v>4.0</v>
      </c>
      <c r="BM173" s="1">
        <v>5.0</v>
      </c>
      <c r="BN173" s="1">
        <v>5.0</v>
      </c>
      <c r="BO173" s="1">
        <v>5.0</v>
      </c>
      <c r="BP173" s="1">
        <v>5.0</v>
      </c>
      <c r="BQ173" s="1">
        <v>4.0</v>
      </c>
      <c r="BR173" s="1">
        <v>5.0</v>
      </c>
      <c r="BS173" s="1">
        <v>5.0</v>
      </c>
      <c r="BT173" s="1">
        <v>5.0</v>
      </c>
      <c r="BU173" s="1">
        <v>5.0</v>
      </c>
      <c r="BV173" s="1">
        <v>5.0</v>
      </c>
      <c r="BW173" s="1">
        <v>5.0</v>
      </c>
      <c r="BX173" s="1">
        <v>5.0</v>
      </c>
      <c r="BY173" s="1">
        <v>5.0</v>
      </c>
      <c r="BZ173" s="1">
        <v>5.0</v>
      </c>
    </row>
    <row r="174">
      <c r="A174" s="19">
        <v>46287.40248355324</v>
      </c>
      <c r="B174" s="1" t="s">
        <v>162</v>
      </c>
      <c r="C174" s="1" t="s">
        <v>918</v>
      </c>
      <c r="D174" s="1">
        <v>2025.0</v>
      </c>
      <c r="E174" s="1" t="s">
        <v>173</v>
      </c>
      <c r="F174" s="1" t="s">
        <v>919</v>
      </c>
      <c r="G174" s="1">
        <v>3.0</v>
      </c>
      <c r="H174" s="1">
        <v>3.0</v>
      </c>
      <c r="I174" s="1">
        <v>3.0</v>
      </c>
      <c r="J174" s="1">
        <v>5.0</v>
      </c>
      <c r="K174" s="1">
        <v>3.0</v>
      </c>
      <c r="L174" s="1">
        <v>5.0</v>
      </c>
      <c r="M174" s="1">
        <v>3.0</v>
      </c>
      <c r="N174" s="1">
        <v>4.0</v>
      </c>
      <c r="O174" s="1">
        <v>3.0</v>
      </c>
      <c r="P174" s="1">
        <v>4.0</v>
      </c>
      <c r="Q174" s="1">
        <v>3.0</v>
      </c>
      <c r="R174" s="1">
        <v>5.0</v>
      </c>
      <c r="S174" s="1">
        <v>4.0</v>
      </c>
      <c r="T174" s="1">
        <v>4.0</v>
      </c>
      <c r="U174" s="1">
        <v>3.0</v>
      </c>
      <c r="V174" s="1">
        <v>5.0</v>
      </c>
      <c r="W174" s="1">
        <v>4.0</v>
      </c>
      <c r="X174" s="1">
        <v>4.0</v>
      </c>
      <c r="Y174" s="1">
        <v>3.0</v>
      </c>
      <c r="Z174" s="1">
        <v>3.0</v>
      </c>
      <c r="AA174" s="1">
        <v>5.0</v>
      </c>
      <c r="AB174" s="1">
        <v>5.0</v>
      </c>
      <c r="AC174" s="1">
        <v>5.0</v>
      </c>
      <c r="AD174" s="1">
        <v>5.0</v>
      </c>
      <c r="AE174" s="1">
        <v>3.0</v>
      </c>
      <c r="AF174" s="1">
        <v>4.0</v>
      </c>
      <c r="AG174" s="1">
        <v>3.0</v>
      </c>
      <c r="AH174" s="1">
        <v>5.0</v>
      </c>
      <c r="AI174" s="1">
        <v>4.0</v>
      </c>
      <c r="AJ174" s="1">
        <v>5.0</v>
      </c>
      <c r="AK174" s="1">
        <v>4.0</v>
      </c>
      <c r="AL174" s="1">
        <v>5.0</v>
      </c>
      <c r="AM174" s="1">
        <v>3.0</v>
      </c>
      <c r="AN174" s="1">
        <v>4.0</v>
      </c>
      <c r="AO174" s="1">
        <v>4.0</v>
      </c>
      <c r="AP174" s="1">
        <v>5.0</v>
      </c>
      <c r="AQ174" s="1">
        <v>3.0</v>
      </c>
      <c r="AR174" s="1">
        <v>3.0</v>
      </c>
      <c r="AS174" s="1">
        <v>5.0</v>
      </c>
      <c r="AT174" s="1">
        <v>5.0</v>
      </c>
      <c r="AU174" s="1">
        <v>5.0</v>
      </c>
      <c r="AV174" s="1">
        <v>5.0</v>
      </c>
      <c r="AW174" s="1">
        <v>3.0</v>
      </c>
      <c r="AX174" s="1">
        <v>4.0</v>
      </c>
      <c r="AY174" s="1">
        <v>4.0</v>
      </c>
      <c r="AZ174" s="1">
        <v>5.0</v>
      </c>
      <c r="BA174" s="1">
        <v>5.0</v>
      </c>
      <c r="BB174" s="1">
        <v>5.0</v>
      </c>
      <c r="BC174" s="1">
        <v>5.0</v>
      </c>
      <c r="BD174" s="1">
        <v>4.0</v>
      </c>
      <c r="BE174" s="1">
        <v>3.0</v>
      </c>
      <c r="BF174" s="1">
        <v>5.0</v>
      </c>
      <c r="BG174" s="1">
        <v>5.0</v>
      </c>
      <c r="BH174" s="1">
        <v>4.0</v>
      </c>
      <c r="BI174" s="1">
        <v>4.0</v>
      </c>
      <c r="BJ174" s="1">
        <v>4.0</v>
      </c>
      <c r="BK174" s="1">
        <v>3.0</v>
      </c>
      <c r="BL174" s="1">
        <v>5.0</v>
      </c>
      <c r="BM174" s="1">
        <v>4.0</v>
      </c>
      <c r="BN174" s="1">
        <v>5.0</v>
      </c>
      <c r="BO174" s="1">
        <v>4.0</v>
      </c>
      <c r="BP174" s="1">
        <v>3.0</v>
      </c>
      <c r="BQ174" s="1">
        <v>4.0</v>
      </c>
      <c r="BR174" s="1">
        <v>5.0</v>
      </c>
      <c r="BS174" s="1">
        <v>5.0</v>
      </c>
      <c r="BT174" s="1">
        <v>5.0</v>
      </c>
      <c r="BU174" s="1">
        <v>4.0</v>
      </c>
      <c r="BV174" s="1">
        <v>4.0</v>
      </c>
      <c r="BW174" s="1">
        <v>4.0</v>
      </c>
      <c r="BX174" s="1">
        <v>5.0</v>
      </c>
      <c r="BY174" s="1">
        <v>5.0</v>
      </c>
      <c r="BZ174" s="1">
        <v>5.0</v>
      </c>
    </row>
    <row r="175">
      <c r="A175" s="19">
        <v>46287.402525011574</v>
      </c>
      <c r="B175" s="1" t="s">
        <v>162</v>
      </c>
      <c r="C175" s="1" t="s">
        <v>923</v>
      </c>
      <c r="D175" s="1">
        <v>2025.0</v>
      </c>
      <c r="E175" s="1" t="s">
        <v>924</v>
      </c>
      <c r="F175" s="1" t="s">
        <v>925</v>
      </c>
      <c r="G175" s="1">
        <v>5.0</v>
      </c>
      <c r="H175" s="1">
        <v>4.0</v>
      </c>
      <c r="I175" s="1">
        <v>1.0</v>
      </c>
      <c r="J175" s="1">
        <v>5.0</v>
      </c>
      <c r="K175" s="1">
        <v>5.0</v>
      </c>
      <c r="L175" s="1">
        <v>4.0</v>
      </c>
      <c r="M175" s="1">
        <v>4.0</v>
      </c>
      <c r="N175" s="1">
        <v>3.0</v>
      </c>
      <c r="O175" s="1">
        <v>4.0</v>
      </c>
      <c r="P175" s="1">
        <v>5.0</v>
      </c>
      <c r="Q175" s="1">
        <v>5.0</v>
      </c>
      <c r="R175" s="1">
        <v>5.0</v>
      </c>
      <c r="S175" s="1">
        <v>5.0</v>
      </c>
      <c r="T175" s="1">
        <v>4.0</v>
      </c>
      <c r="U175" s="1">
        <v>1.0</v>
      </c>
      <c r="V175" s="1">
        <v>4.0</v>
      </c>
      <c r="W175" s="1">
        <v>4.0</v>
      </c>
      <c r="X175" s="1">
        <v>4.0</v>
      </c>
      <c r="Y175" s="1">
        <v>2.0</v>
      </c>
      <c r="Z175" s="1">
        <v>3.0</v>
      </c>
      <c r="AA175" s="1">
        <v>1.0</v>
      </c>
      <c r="AB175" s="1">
        <v>5.0</v>
      </c>
      <c r="AC175" s="1">
        <v>4.0</v>
      </c>
      <c r="AD175" s="1">
        <v>3.0</v>
      </c>
      <c r="AE175" s="1">
        <v>1.0</v>
      </c>
      <c r="AF175" s="1">
        <v>4.0</v>
      </c>
      <c r="AG175" s="1">
        <v>3.0</v>
      </c>
      <c r="AH175" s="1">
        <v>5.0</v>
      </c>
      <c r="AI175" s="1">
        <v>5.0</v>
      </c>
      <c r="AJ175" s="1">
        <v>5.0</v>
      </c>
      <c r="AK175" s="1">
        <v>3.0</v>
      </c>
      <c r="AL175" s="1">
        <v>4.0</v>
      </c>
      <c r="AM175" s="1">
        <v>1.0</v>
      </c>
      <c r="AN175" s="1">
        <v>5.0</v>
      </c>
      <c r="AO175" s="1">
        <v>5.0</v>
      </c>
      <c r="AP175" s="1">
        <v>1.0</v>
      </c>
      <c r="AQ175" s="1">
        <v>4.0</v>
      </c>
      <c r="AR175" s="1">
        <v>4.0</v>
      </c>
      <c r="AS175" s="1">
        <v>4.0</v>
      </c>
      <c r="AT175" s="1">
        <v>5.0</v>
      </c>
      <c r="AU175" s="1">
        <v>5.0</v>
      </c>
      <c r="AV175" s="1">
        <v>4.0</v>
      </c>
      <c r="AW175" s="1">
        <v>2.0</v>
      </c>
      <c r="AX175" s="1">
        <v>2.0</v>
      </c>
      <c r="AY175" s="1">
        <v>3.0</v>
      </c>
      <c r="AZ175" s="1">
        <v>5.0</v>
      </c>
      <c r="BA175" s="1">
        <v>4.0</v>
      </c>
      <c r="BB175" s="1">
        <v>4.0</v>
      </c>
      <c r="BC175" s="1">
        <v>4.0</v>
      </c>
      <c r="BD175" s="1">
        <v>4.0</v>
      </c>
      <c r="BE175" s="1">
        <v>1.0</v>
      </c>
      <c r="BF175" s="1">
        <v>5.0</v>
      </c>
      <c r="BG175" s="1">
        <v>5.0</v>
      </c>
      <c r="BH175" s="1">
        <v>4.0</v>
      </c>
      <c r="BI175" s="1">
        <v>4.0</v>
      </c>
      <c r="BJ175" s="1">
        <v>4.0</v>
      </c>
      <c r="BK175" s="1">
        <v>4.0</v>
      </c>
      <c r="BL175" s="1">
        <v>5.0</v>
      </c>
      <c r="BM175" s="1">
        <v>5.0</v>
      </c>
      <c r="BN175" s="1">
        <v>4.0</v>
      </c>
      <c r="BO175" s="1">
        <v>4.0</v>
      </c>
      <c r="BP175" s="1">
        <v>4.0</v>
      </c>
      <c r="BQ175" s="1">
        <v>3.0</v>
      </c>
      <c r="BR175" s="1">
        <v>5.0</v>
      </c>
      <c r="BS175" s="1">
        <v>5.0</v>
      </c>
      <c r="BT175" s="1">
        <v>4.0</v>
      </c>
      <c r="BU175" s="1">
        <v>4.0</v>
      </c>
      <c r="BV175" s="1">
        <v>4.0</v>
      </c>
      <c r="BW175" s="1">
        <v>4.0</v>
      </c>
      <c r="BX175" s="1">
        <v>4.0</v>
      </c>
      <c r="BY175" s="1">
        <v>4.0</v>
      </c>
      <c r="BZ175" s="1">
        <v>2.0</v>
      </c>
    </row>
    <row r="176">
      <c r="A176" s="19">
        <v>46287.402558518515</v>
      </c>
      <c r="B176" s="1" t="s">
        <v>162</v>
      </c>
      <c r="C176" s="1" t="s">
        <v>926</v>
      </c>
      <c r="D176" s="1">
        <v>2025.0</v>
      </c>
      <c r="E176" s="1" t="s">
        <v>189</v>
      </c>
      <c r="F176" s="1" t="s">
        <v>927</v>
      </c>
      <c r="G176" s="1">
        <v>3.0</v>
      </c>
      <c r="H176" s="1">
        <v>3.0</v>
      </c>
      <c r="I176" s="1">
        <v>4.0</v>
      </c>
      <c r="J176" s="1">
        <v>5.0</v>
      </c>
      <c r="K176" s="1">
        <v>4.0</v>
      </c>
      <c r="L176" s="1">
        <v>5.0</v>
      </c>
      <c r="M176" s="1">
        <v>3.0</v>
      </c>
      <c r="N176" s="1">
        <v>4.0</v>
      </c>
      <c r="O176" s="1">
        <v>5.0</v>
      </c>
      <c r="P176" s="1">
        <v>5.0</v>
      </c>
      <c r="Q176" s="1">
        <v>5.0</v>
      </c>
      <c r="R176" s="1">
        <v>5.0</v>
      </c>
      <c r="S176" s="1">
        <v>3.0</v>
      </c>
      <c r="T176" s="1">
        <v>4.0</v>
      </c>
      <c r="U176" s="1">
        <v>5.0</v>
      </c>
      <c r="V176" s="1">
        <v>5.0</v>
      </c>
      <c r="W176" s="1">
        <v>5.0</v>
      </c>
      <c r="X176" s="1">
        <v>3.0</v>
      </c>
      <c r="Y176" s="1">
        <v>3.0</v>
      </c>
      <c r="Z176" s="1">
        <v>5.0</v>
      </c>
      <c r="AA176" s="1">
        <v>5.0</v>
      </c>
      <c r="AB176" s="1">
        <v>5.0</v>
      </c>
      <c r="AC176" s="1">
        <v>5.0</v>
      </c>
      <c r="AD176" s="1">
        <v>5.0</v>
      </c>
      <c r="AE176" s="1">
        <v>3.0</v>
      </c>
      <c r="AF176" s="1">
        <v>4.0</v>
      </c>
      <c r="AG176" s="1">
        <v>4.0</v>
      </c>
      <c r="AH176" s="1">
        <v>5.0</v>
      </c>
      <c r="AI176" s="1">
        <v>5.0</v>
      </c>
      <c r="AJ176" s="1">
        <v>5.0</v>
      </c>
      <c r="AK176" s="1">
        <v>3.0</v>
      </c>
      <c r="AL176" s="1">
        <v>4.0</v>
      </c>
      <c r="AM176" s="1">
        <v>5.0</v>
      </c>
      <c r="AN176" s="1">
        <v>5.0</v>
      </c>
      <c r="AO176" s="1">
        <v>2.0</v>
      </c>
      <c r="AP176" s="1">
        <v>3.0</v>
      </c>
      <c r="AQ176" s="1">
        <v>3.0</v>
      </c>
      <c r="AR176" s="1">
        <v>3.0</v>
      </c>
      <c r="AS176" s="1">
        <v>5.0</v>
      </c>
      <c r="AT176" s="1">
        <v>5.0</v>
      </c>
      <c r="AU176" s="1">
        <v>5.0</v>
      </c>
      <c r="AV176" s="1">
        <v>5.0</v>
      </c>
      <c r="AW176" s="1">
        <v>3.0</v>
      </c>
      <c r="AX176" s="1">
        <v>3.0</v>
      </c>
      <c r="AY176" s="1">
        <v>4.0</v>
      </c>
      <c r="AZ176" s="1">
        <v>5.0</v>
      </c>
      <c r="BA176" s="1">
        <v>5.0</v>
      </c>
      <c r="BB176" s="1">
        <v>5.0</v>
      </c>
      <c r="BC176" s="1">
        <v>5.0</v>
      </c>
      <c r="BD176" s="1">
        <v>4.0</v>
      </c>
      <c r="BE176" s="1">
        <v>4.0</v>
      </c>
      <c r="BF176" s="1">
        <v>5.0</v>
      </c>
      <c r="BG176" s="1">
        <v>5.0</v>
      </c>
      <c r="BH176" s="1">
        <v>4.0</v>
      </c>
      <c r="BI176" s="1">
        <v>5.0</v>
      </c>
      <c r="BJ176" s="1">
        <v>5.0</v>
      </c>
      <c r="BK176" s="1">
        <v>5.0</v>
      </c>
      <c r="BL176" s="1">
        <v>5.0</v>
      </c>
      <c r="BM176" s="1">
        <v>5.0</v>
      </c>
      <c r="BN176" s="1">
        <v>3.0</v>
      </c>
      <c r="BO176" s="1">
        <v>3.0</v>
      </c>
      <c r="BP176" s="1">
        <v>3.0</v>
      </c>
      <c r="BQ176" s="1">
        <v>5.0</v>
      </c>
      <c r="BR176" s="1">
        <v>5.0</v>
      </c>
      <c r="BS176" s="1">
        <v>5.0</v>
      </c>
      <c r="BT176" s="1">
        <v>5.0</v>
      </c>
      <c r="BU176" s="1">
        <v>4.0</v>
      </c>
      <c r="BV176" s="1">
        <v>5.0</v>
      </c>
      <c r="BW176" s="1">
        <v>5.0</v>
      </c>
      <c r="BX176" s="1">
        <v>5.0</v>
      </c>
      <c r="BY176" s="1">
        <v>5.0</v>
      </c>
      <c r="BZ176" s="1">
        <v>5.0</v>
      </c>
    </row>
    <row r="177">
      <c r="A177" s="19">
        <v>46287.40261523148</v>
      </c>
      <c r="B177" s="1" t="s">
        <v>162</v>
      </c>
      <c r="C177" s="1" t="s">
        <v>928</v>
      </c>
      <c r="D177" s="1">
        <v>2025.0</v>
      </c>
      <c r="E177" s="1" t="s">
        <v>340</v>
      </c>
      <c r="F177" s="1" t="s">
        <v>929</v>
      </c>
      <c r="G177" s="1">
        <v>3.0</v>
      </c>
      <c r="H177" s="1">
        <v>3.0</v>
      </c>
      <c r="I177" s="1">
        <v>3.0</v>
      </c>
      <c r="J177" s="1">
        <v>4.0</v>
      </c>
      <c r="K177" s="1">
        <v>3.0</v>
      </c>
      <c r="L177" s="1">
        <v>3.0</v>
      </c>
      <c r="M177" s="1">
        <v>3.0</v>
      </c>
      <c r="N177" s="1">
        <v>4.0</v>
      </c>
      <c r="O177" s="1">
        <v>3.0</v>
      </c>
      <c r="P177" s="1">
        <v>3.0</v>
      </c>
      <c r="Q177" s="1">
        <v>3.0</v>
      </c>
      <c r="R177" s="1">
        <v>3.0</v>
      </c>
      <c r="S177" s="1">
        <v>3.0</v>
      </c>
      <c r="T177" s="1">
        <v>4.0</v>
      </c>
      <c r="U177" s="1">
        <v>3.0</v>
      </c>
      <c r="V177" s="1">
        <v>3.0</v>
      </c>
      <c r="W177" s="1">
        <v>3.0</v>
      </c>
      <c r="X177" s="1">
        <v>3.0</v>
      </c>
      <c r="Y177" s="1">
        <v>3.0</v>
      </c>
      <c r="Z177" s="1">
        <v>3.0</v>
      </c>
      <c r="AA177" s="1">
        <v>3.0</v>
      </c>
      <c r="AB177" s="1">
        <v>3.0</v>
      </c>
      <c r="AC177" s="1">
        <v>3.0</v>
      </c>
      <c r="AD177" s="1">
        <v>4.0</v>
      </c>
      <c r="AE177" s="1">
        <v>3.0</v>
      </c>
      <c r="AF177" s="1">
        <v>3.0</v>
      </c>
      <c r="AG177" s="1">
        <v>3.0</v>
      </c>
      <c r="AH177" s="1">
        <v>3.0</v>
      </c>
      <c r="AI177" s="1">
        <v>3.0</v>
      </c>
      <c r="AJ177" s="1">
        <v>3.0</v>
      </c>
      <c r="AK177" s="1">
        <v>3.0</v>
      </c>
      <c r="AL177" s="1">
        <v>3.0</v>
      </c>
      <c r="AM177" s="1">
        <v>3.0</v>
      </c>
      <c r="AN177" s="1">
        <v>3.0</v>
      </c>
      <c r="AO177" s="1">
        <v>3.0</v>
      </c>
      <c r="AP177" s="1">
        <v>3.0</v>
      </c>
      <c r="AQ177" s="1">
        <v>3.0</v>
      </c>
      <c r="AR177" s="1">
        <v>3.0</v>
      </c>
      <c r="AS177" s="1">
        <v>3.0</v>
      </c>
      <c r="AT177" s="1">
        <v>3.0</v>
      </c>
      <c r="AU177" s="1">
        <v>3.0</v>
      </c>
      <c r="AV177" s="1">
        <v>4.0</v>
      </c>
      <c r="AW177" s="1">
        <v>3.0</v>
      </c>
      <c r="AX177" s="1">
        <v>4.0</v>
      </c>
      <c r="AY177" s="1">
        <v>3.0</v>
      </c>
      <c r="AZ177" s="1">
        <v>3.0</v>
      </c>
      <c r="BA177" s="1">
        <v>3.0</v>
      </c>
      <c r="BB177" s="1">
        <v>3.0</v>
      </c>
      <c r="BC177" s="1">
        <v>3.0</v>
      </c>
      <c r="BD177" s="1">
        <v>3.0</v>
      </c>
      <c r="BE177" s="1">
        <v>3.0</v>
      </c>
      <c r="BF177" s="1">
        <v>3.0</v>
      </c>
      <c r="BG177" s="1">
        <v>3.0</v>
      </c>
      <c r="BH177" s="1">
        <v>3.0</v>
      </c>
      <c r="BI177" s="1">
        <v>3.0</v>
      </c>
      <c r="BJ177" s="1">
        <v>3.0</v>
      </c>
      <c r="BK177" s="1">
        <v>3.0</v>
      </c>
      <c r="BL177" s="1">
        <v>3.0</v>
      </c>
      <c r="BM177" s="1">
        <v>3.0</v>
      </c>
      <c r="BN177" s="1">
        <v>3.0</v>
      </c>
      <c r="BO177" s="1">
        <v>3.0</v>
      </c>
      <c r="BP177" s="1">
        <v>3.0</v>
      </c>
      <c r="BQ177" s="1">
        <v>3.0</v>
      </c>
      <c r="BR177" s="1">
        <v>3.0</v>
      </c>
      <c r="BS177" s="1">
        <v>3.0</v>
      </c>
      <c r="BT177" s="1">
        <v>3.0</v>
      </c>
      <c r="BU177" s="1">
        <v>3.0</v>
      </c>
      <c r="BV177" s="1">
        <v>3.0</v>
      </c>
      <c r="BW177" s="1">
        <v>3.0</v>
      </c>
      <c r="BX177" s="1">
        <v>3.0</v>
      </c>
      <c r="BY177" s="1">
        <v>3.0</v>
      </c>
      <c r="BZ177" s="1">
        <v>3.0</v>
      </c>
    </row>
    <row r="178">
      <c r="A178" s="19">
        <v>46287.40278427083</v>
      </c>
      <c r="B178" s="1" t="s">
        <v>162</v>
      </c>
      <c r="C178" s="1" t="s">
        <v>933</v>
      </c>
      <c r="D178" s="1">
        <v>2026.0</v>
      </c>
      <c r="E178" s="1" t="s">
        <v>340</v>
      </c>
      <c r="F178" s="1" t="s">
        <v>934</v>
      </c>
      <c r="G178" s="1">
        <v>1.0</v>
      </c>
      <c r="H178" s="1">
        <v>1.0</v>
      </c>
      <c r="I178" s="1">
        <v>1.0</v>
      </c>
      <c r="J178" s="1">
        <v>4.0</v>
      </c>
      <c r="K178" s="1">
        <v>1.0</v>
      </c>
      <c r="L178" s="1">
        <v>4.0</v>
      </c>
      <c r="M178" s="1">
        <v>1.0</v>
      </c>
      <c r="N178" s="1">
        <v>5.0</v>
      </c>
      <c r="O178" s="1">
        <v>4.0</v>
      </c>
      <c r="P178" s="1">
        <v>1.0</v>
      </c>
      <c r="Q178" s="1">
        <v>1.0</v>
      </c>
      <c r="R178" s="1">
        <v>5.0</v>
      </c>
      <c r="S178" s="1">
        <v>1.0</v>
      </c>
      <c r="T178" s="1">
        <v>5.0</v>
      </c>
      <c r="U178" s="1">
        <v>1.0</v>
      </c>
      <c r="V178" s="1">
        <v>3.0</v>
      </c>
      <c r="W178" s="1">
        <v>1.0</v>
      </c>
      <c r="X178" s="1">
        <v>5.0</v>
      </c>
      <c r="Y178" s="1">
        <v>1.0</v>
      </c>
      <c r="Z178" s="1">
        <v>1.0</v>
      </c>
      <c r="AA178" s="1">
        <v>5.0</v>
      </c>
      <c r="AB178" s="1">
        <v>1.0</v>
      </c>
      <c r="AC178" s="1">
        <v>1.0</v>
      </c>
      <c r="AD178" s="1">
        <v>1.0</v>
      </c>
      <c r="AE178" s="1">
        <v>1.0</v>
      </c>
      <c r="AF178" s="1">
        <v>1.0</v>
      </c>
      <c r="AG178" s="1">
        <v>1.0</v>
      </c>
      <c r="AH178" s="1">
        <v>3.0</v>
      </c>
      <c r="AI178" s="1">
        <v>1.0</v>
      </c>
      <c r="AJ178" s="1">
        <v>4.0</v>
      </c>
      <c r="AK178" s="1">
        <v>1.0</v>
      </c>
      <c r="AL178" s="1">
        <v>5.0</v>
      </c>
      <c r="AM178" s="1">
        <v>1.0</v>
      </c>
      <c r="AN178" s="1">
        <v>4.0</v>
      </c>
      <c r="AO178" s="1">
        <v>4.0</v>
      </c>
      <c r="AP178" s="1">
        <v>5.0</v>
      </c>
      <c r="AQ178" s="1">
        <v>1.0</v>
      </c>
      <c r="AR178" s="1">
        <v>1.0</v>
      </c>
      <c r="AS178" s="1">
        <v>3.0</v>
      </c>
      <c r="AT178" s="1">
        <v>1.0</v>
      </c>
      <c r="AU178" s="1">
        <v>1.0</v>
      </c>
      <c r="AV178" s="1">
        <v>5.0</v>
      </c>
      <c r="AW178" s="1">
        <v>1.0</v>
      </c>
      <c r="AX178" s="1">
        <v>5.0</v>
      </c>
      <c r="AY178" s="1">
        <v>5.0</v>
      </c>
      <c r="AZ178" s="1">
        <v>4.0</v>
      </c>
      <c r="BA178" s="1">
        <v>4.0</v>
      </c>
      <c r="BB178" s="1">
        <v>5.0</v>
      </c>
      <c r="BC178" s="1">
        <v>3.0</v>
      </c>
      <c r="BD178" s="1">
        <v>3.0</v>
      </c>
      <c r="BE178" s="1">
        <v>1.0</v>
      </c>
      <c r="BF178" s="1">
        <v>5.0</v>
      </c>
      <c r="BG178" s="1">
        <v>3.0</v>
      </c>
      <c r="BH178" s="1">
        <v>3.0</v>
      </c>
      <c r="BI178" s="1">
        <v>4.0</v>
      </c>
      <c r="BJ178" s="1">
        <v>4.0</v>
      </c>
      <c r="BK178" s="1">
        <v>1.0</v>
      </c>
      <c r="BL178" s="1">
        <v>3.0</v>
      </c>
      <c r="BM178" s="1">
        <v>3.0</v>
      </c>
      <c r="BN178" s="1">
        <v>3.0</v>
      </c>
      <c r="BO178" s="1">
        <v>1.0</v>
      </c>
      <c r="BP178" s="1">
        <v>5.0</v>
      </c>
      <c r="BQ178" s="1">
        <v>5.0</v>
      </c>
      <c r="BR178" s="1">
        <v>5.0</v>
      </c>
      <c r="BS178" s="1">
        <v>4.0</v>
      </c>
      <c r="BT178" s="1">
        <v>4.0</v>
      </c>
      <c r="BU178" s="1">
        <v>1.0</v>
      </c>
      <c r="BV178" s="1">
        <v>5.0</v>
      </c>
      <c r="BW178" s="1">
        <v>4.0</v>
      </c>
      <c r="BX178" s="1">
        <v>3.0</v>
      </c>
      <c r="BY178" s="1">
        <v>4.0</v>
      </c>
      <c r="BZ178" s="1">
        <v>4.0</v>
      </c>
    </row>
    <row r="179">
      <c r="A179" s="19">
        <v>46287.40279570602</v>
      </c>
      <c r="B179" s="1" t="s">
        <v>162</v>
      </c>
      <c r="C179" s="1" t="s">
        <v>938</v>
      </c>
      <c r="D179" s="1">
        <v>2025.0</v>
      </c>
      <c r="E179" s="1" t="s">
        <v>266</v>
      </c>
      <c r="F179" s="1" t="s">
        <v>939</v>
      </c>
      <c r="G179" s="1">
        <v>4.0</v>
      </c>
      <c r="H179" s="1">
        <v>3.0</v>
      </c>
      <c r="I179" s="1">
        <v>2.0</v>
      </c>
      <c r="J179" s="1">
        <v>5.0</v>
      </c>
      <c r="K179" s="1">
        <v>4.0</v>
      </c>
      <c r="L179" s="1">
        <v>4.0</v>
      </c>
      <c r="M179" s="1">
        <v>4.0</v>
      </c>
      <c r="N179" s="1">
        <v>4.0</v>
      </c>
      <c r="O179" s="1">
        <v>4.0</v>
      </c>
      <c r="P179" s="1">
        <v>5.0</v>
      </c>
      <c r="Q179" s="1">
        <v>4.0</v>
      </c>
      <c r="R179" s="1">
        <v>4.0</v>
      </c>
      <c r="S179" s="1">
        <v>3.0</v>
      </c>
      <c r="T179" s="1">
        <v>4.0</v>
      </c>
      <c r="U179" s="1">
        <v>4.0</v>
      </c>
      <c r="V179" s="1">
        <v>5.0</v>
      </c>
      <c r="W179" s="1">
        <v>4.0</v>
      </c>
      <c r="X179" s="1">
        <v>4.0</v>
      </c>
      <c r="Y179" s="1">
        <v>4.0</v>
      </c>
      <c r="Z179" s="1">
        <v>4.0</v>
      </c>
      <c r="AA179" s="1">
        <v>4.0</v>
      </c>
      <c r="AB179" s="1">
        <v>5.0</v>
      </c>
      <c r="AC179" s="1">
        <v>5.0</v>
      </c>
      <c r="AD179" s="1">
        <v>4.0</v>
      </c>
      <c r="AE179" s="1">
        <v>3.0</v>
      </c>
      <c r="AF179" s="1">
        <v>4.0</v>
      </c>
      <c r="AG179" s="1">
        <v>4.0</v>
      </c>
      <c r="AH179" s="1">
        <v>4.0</v>
      </c>
      <c r="AI179" s="1">
        <v>4.0</v>
      </c>
      <c r="AJ179" s="1">
        <v>4.0</v>
      </c>
      <c r="AK179" s="1">
        <v>4.0</v>
      </c>
      <c r="AL179" s="1">
        <v>4.0</v>
      </c>
      <c r="AM179" s="1">
        <v>3.0</v>
      </c>
      <c r="AN179" s="1">
        <v>4.0</v>
      </c>
      <c r="AO179" s="1">
        <v>4.0</v>
      </c>
      <c r="AP179" s="1">
        <v>4.0</v>
      </c>
      <c r="AQ179" s="1">
        <v>2.0</v>
      </c>
      <c r="AR179" s="1">
        <v>4.0</v>
      </c>
      <c r="AS179" s="1">
        <v>4.0</v>
      </c>
      <c r="AT179" s="1">
        <v>4.0</v>
      </c>
      <c r="AU179" s="1">
        <v>4.0</v>
      </c>
      <c r="AV179" s="1">
        <v>4.0</v>
      </c>
      <c r="AW179" s="1">
        <v>4.0</v>
      </c>
      <c r="AX179" s="1">
        <v>4.0</v>
      </c>
      <c r="AY179" s="1">
        <v>4.0</v>
      </c>
      <c r="AZ179" s="1">
        <v>4.0</v>
      </c>
      <c r="BA179" s="1">
        <v>4.0</v>
      </c>
      <c r="BB179" s="1">
        <v>5.0</v>
      </c>
      <c r="BC179" s="1">
        <v>4.0</v>
      </c>
      <c r="BD179" s="1">
        <v>4.0</v>
      </c>
      <c r="BE179" s="1">
        <v>4.0</v>
      </c>
      <c r="BF179" s="1">
        <v>4.0</v>
      </c>
      <c r="BG179" s="1">
        <v>4.0</v>
      </c>
      <c r="BH179" s="1">
        <v>4.0</v>
      </c>
      <c r="BI179" s="1">
        <v>4.0</v>
      </c>
      <c r="BJ179" s="1">
        <v>3.0</v>
      </c>
      <c r="BK179" s="1">
        <v>4.0</v>
      </c>
      <c r="BL179" s="1">
        <v>4.0</v>
      </c>
      <c r="BM179" s="1">
        <v>5.0</v>
      </c>
      <c r="BN179" s="1">
        <v>4.0</v>
      </c>
      <c r="BO179" s="1">
        <v>4.0</v>
      </c>
      <c r="BP179" s="1">
        <v>4.0</v>
      </c>
      <c r="BQ179" s="1">
        <v>5.0</v>
      </c>
      <c r="BR179" s="1">
        <v>5.0</v>
      </c>
      <c r="BS179" s="1">
        <v>5.0</v>
      </c>
      <c r="BT179" s="1">
        <v>4.0</v>
      </c>
      <c r="BU179" s="1">
        <v>4.0</v>
      </c>
      <c r="BV179" s="1">
        <v>4.0</v>
      </c>
      <c r="BW179" s="1">
        <v>4.0</v>
      </c>
      <c r="BX179" s="1">
        <v>5.0</v>
      </c>
      <c r="BY179" s="1">
        <v>4.0</v>
      </c>
      <c r="BZ179" s="1">
        <v>5.0</v>
      </c>
    </row>
    <row r="180">
      <c r="A180" s="19">
        <v>46287.40295333334</v>
      </c>
      <c r="B180" s="1" t="s">
        <v>162</v>
      </c>
      <c r="C180" s="1" t="s">
        <v>940</v>
      </c>
      <c r="D180" s="1">
        <v>2026.0</v>
      </c>
      <c r="E180" s="1" t="s">
        <v>239</v>
      </c>
      <c r="F180" s="1" t="s">
        <v>941</v>
      </c>
      <c r="G180" s="1">
        <v>1.0</v>
      </c>
      <c r="H180" s="1">
        <v>1.0</v>
      </c>
      <c r="I180" s="1">
        <v>1.0</v>
      </c>
      <c r="J180" s="1">
        <v>4.0</v>
      </c>
      <c r="K180" s="1">
        <v>1.0</v>
      </c>
      <c r="L180" s="1">
        <v>4.0</v>
      </c>
      <c r="M180" s="1">
        <v>4.0</v>
      </c>
      <c r="N180" s="1">
        <v>4.0</v>
      </c>
      <c r="O180" s="1">
        <v>4.0</v>
      </c>
      <c r="P180" s="1">
        <v>1.0</v>
      </c>
      <c r="Q180" s="1">
        <v>5.0</v>
      </c>
      <c r="R180" s="1">
        <v>4.0</v>
      </c>
      <c r="S180" s="1">
        <v>1.0</v>
      </c>
      <c r="T180" s="1">
        <v>4.0</v>
      </c>
      <c r="U180" s="1">
        <v>1.0</v>
      </c>
      <c r="V180" s="1">
        <v>3.0</v>
      </c>
      <c r="W180" s="1">
        <v>4.0</v>
      </c>
      <c r="X180" s="1">
        <v>4.0</v>
      </c>
      <c r="Y180" s="1">
        <v>4.0</v>
      </c>
      <c r="Z180" s="1">
        <v>4.0</v>
      </c>
      <c r="AA180" s="1">
        <v>4.0</v>
      </c>
      <c r="AB180" s="1">
        <v>4.0</v>
      </c>
      <c r="AC180" s="1">
        <v>4.0</v>
      </c>
      <c r="AD180" s="1">
        <v>4.0</v>
      </c>
      <c r="AE180" s="1">
        <v>2.0</v>
      </c>
      <c r="AF180" s="1">
        <v>2.0</v>
      </c>
      <c r="AG180" s="1">
        <v>4.0</v>
      </c>
      <c r="AH180" s="1">
        <v>2.0</v>
      </c>
      <c r="AI180" s="1">
        <v>3.0</v>
      </c>
      <c r="AJ180" s="1">
        <v>4.0</v>
      </c>
      <c r="AK180" s="1">
        <v>1.0</v>
      </c>
      <c r="AL180" s="1">
        <v>4.0</v>
      </c>
      <c r="AM180" s="1">
        <v>1.0</v>
      </c>
      <c r="AN180" s="1">
        <v>1.0</v>
      </c>
      <c r="AO180" s="1">
        <v>3.0</v>
      </c>
      <c r="AP180" s="1">
        <v>4.0</v>
      </c>
      <c r="AQ180" s="1">
        <v>1.0</v>
      </c>
      <c r="AR180" s="1">
        <v>1.0</v>
      </c>
      <c r="AS180" s="1">
        <v>1.0</v>
      </c>
      <c r="AT180" s="1">
        <v>1.0</v>
      </c>
      <c r="AU180" s="1">
        <v>5.0</v>
      </c>
      <c r="AV180" s="1">
        <v>3.0</v>
      </c>
      <c r="AW180" s="1">
        <v>1.0</v>
      </c>
      <c r="AX180" s="1">
        <v>1.0</v>
      </c>
      <c r="AY180" s="1">
        <v>1.0</v>
      </c>
      <c r="AZ180" s="1">
        <v>1.0</v>
      </c>
      <c r="BA180" s="1">
        <v>4.0</v>
      </c>
      <c r="BB180" s="1">
        <v>4.0</v>
      </c>
      <c r="BC180" s="1">
        <v>1.0</v>
      </c>
      <c r="BD180" s="1">
        <v>1.0</v>
      </c>
      <c r="BE180" s="1">
        <v>1.0</v>
      </c>
      <c r="BF180" s="1">
        <v>4.0</v>
      </c>
      <c r="BG180" s="1">
        <v>4.0</v>
      </c>
      <c r="BH180" s="1">
        <v>4.0</v>
      </c>
      <c r="BI180" s="1">
        <v>4.0</v>
      </c>
      <c r="BJ180" s="1">
        <v>4.0</v>
      </c>
      <c r="BK180" s="1">
        <v>3.0</v>
      </c>
      <c r="BL180" s="1">
        <v>1.0</v>
      </c>
      <c r="BM180" s="1">
        <v>5.0</v>
      </c>
      <c r="BN180" s="1">
        <v>4.0</v>
      </c>
      <c r="BO180" s="1">
        <v>3.0</v>
      </c>
      <c r="BP180" s="1">
        <v>4.0</v>
      </c>
      <c r="BQ180" s="1">
        <v>3.0</v>
      </c>
      <c r="BR180" s="1">
        <v>4.0</v>
      </c>
      <c r="BS180" s="1">
        <v>4.0</v>
      </c>
      <c r="BT180" s="1">
        <v>5.0</v>
      </c>
      <c r="BU180" s="1">
        <v>4.0</v>
      </c>
      <c r="BV180" s="1">
        <v>4.0</v>
      </c>
      <c r="BW180" s="1">
        <v>4.0</v>
      </c>
      <c r="BX180" s="1">
        <v>4.0</v>
      </c>
      <c r="BY180" s="1">
        <v>2.0</v>
      </c>
      <c r="BZ180" s="1">
        <v>5.0</v>
      </c>
    </row>
    <row r="181">
      <c r="A181" s="19">
        <v>46287.40295386574</v>
      </c>
      <c r="B181" s="1" t="s">
        <v>162</v>
      </c>
      <c r="C181" s="1" t="s">
        <v>942</v>
      </c>
      <c r="D181" s="1">
        <v>2026.0</v>
      </c>
      <c r="E181" s="1" t="s">
        <v>189</v>
      </c>
      <c r="F181" s="1" t="s">
        <v>943</v>
      </c>
      <c r="G181" s="1">
        <v>4.0</v>
      </c>
      <c r="H181" s="1">
        <v>3.0</v>
      </c>
      <c r="I181" s="1">
        <v>2.0</v>
      </c>
      <c r="J181" s="1">
        <v>4.0</v>
      </c>
      <c r="K181" s="1">
        <v>4.0</v>
      </c>
      <c r="L181" s="1">
        <v>2.0</v>
      </c>
      <c r="M181" s="1">
        <v>3.0</v>
      </c>
      <c r="N181" s="1">
        <v>4.0</v>
      </c>
      <c r="O181" s="1">
        <v>4.0</v>
      </c>
      <c r="P181" s="1">
        <v>3.0</v>
      </c>
      <c r="Q181" s="1">
        <v>2.0</v>
      </c>
      <c r="R181" s="1">
        <v>3.0</v>
      </c>
      <c r="S181" s="1">
        <v>3.0</v>
      </c>
      <c r="T181" s="1">
        <v>3.0</v>
      </c>
      <c r="U181" s="1">
        <v>3.0</v>
      </c>
      <c r="V181" s="1">
        <v>3.0</v>
      </c>
      <c r="W181" s="1">
        <v>4.0</v>
      </c>
      <c r="X181" s="1">
        <v>3.0</v>
      </c>
      <c r="Y181" s="1">
        <v>3.0</v>
      </c>
      <c r="Z181" s="1">
        <v>3.0</v>
      </c>
      <c r="AA181" s="1">
        <v>4.0</v>
      </c>
      <c r="AB181" s="1">
        <v>4.0</v>
      </c>
      <c r="AC181" s="1">
        <v>3.0</v>
      </c>
      <c r="AD181" s="1">
        <v>2.0</v>
      </c>
      <c r="AE181" s="1">
        <v>3.0</v>
      </c>
      <c r="AF181" s="1">
        <v>3.0</v>
      </c>
      <c r="AG181" s="1">
        <v>4.0</v>
      </c>
      <c r="AH181" s="1">
        <v>5.0</v>
      </c>
      <c r="AI181" s="1">
        <v>5.0</v>
      </c>
      <c r="AJ181" s="1">
        <v>5.0</v>
      </c>
      <c r="AK181" s="1">
        <v>5.0</v>
      </c>
      <c r="AL181" s="1">
        <v>5.0</v>
      </c>
      <c r="AM181" s="1">
        <v>2.0</v>
      </c>
      <c r="AN181" s="1">
        <v>5.0</v>
      </c>
      <c r="AO181" s="1">
        <v>2.0</v>
      </c>
      <c r="AP181" s="1">
        <v>5.0</v>
      </c>
      <c r="AQ181" s="1">
        <v>5.0</v>
      </c>
      <c r="AR181" s="1">
        <v>5.0</v>
      </c>
      <c r="AS181" s="1">
        <v>5.0</v>
      </c>
      <c r="AT181" s="1">
        <v>5.0</v>
      </c>
      <c r="AU181" s="1">
        <v>3.0</v>
      </c>
      <c r="AV181" s="1">
        <v>5.0</v>
      </c>
      <c r="AW181" s="1">
        <v>5.0</v>
      </c>
      <c r="AX181" s="1">
        <v>5.0</v>
      </c>
      <c r="AY181" s="1">
        <v>5.0</v>
      </c>
      <c r="AZ181" s="1">
        <v>4.0</v>
      </c>
      <c r="BA181" s="1">
        <v>4.0</v>
      </c>
      <c r="BB181" s="1">
        <v>5.0</v>
      </c>
      <c r="BC181" s="1">
        <v>5.0</v>
      </c>
      <c r="BD181" s="1">
        <v>4.0</v>
      </c>
      <c r="BE181" s="1">
        <v>5.0</v>
      </c>
      <c r="BF181" s="1">
        <v>5.0</v>
      </c>
      <c r="BG181" s="1">
        <v>5.0</v>
      </c>
      <c r="BH181" s="1">
        <v>4.0</v>
      </c>
      <c r="BI181" s="1">
        <v>5.0</v>
      </c>
      <c r="BJ181" s="1">
        <v>5.0</v>
      </c>
      <c r="BK181" s="1">
        <v>4.0</v>
      </c>
      <c r="BL181" s="1">
        <v>5.0</v>
      </c>
      <c r="BM181" s="1">
        <v>5.0</v>
      </c>
      <c r="BN181" s="1">
        <v>4.0</v>
      </c>
      <c r="BO181" s="1">
        <v>4.0</v>
      </c>
      <c r="BP181" s="1">
        <v>5.0</v>
      </c>
      <c r="BQ181" s="1">
        <v>5.0</v>
      </c>
      <c r="BR181" s="1">
        <v>5.0</v>
      </c>
      <c r="BS181" s="1">
        <v>4.0</v>
      </c>
      <c r="BT181" s="1">
        <v>5.0</v>
      </c>
      <c r="BU181" s="1">
        <v>5.0</v>
      </c>
      <c r="BV181" s="1">
        <v>4.0</v>
      </c>
      <c r="BW181" s="1">
        <v>4.0</v>
      </c>
      <c r="BX181" s="1">
        <v>5.0</v>
      </c>
      <c r="BY181" s="1">
        <v>4.0</v>
      </c>
      <c r="BZ181" s="1">
        <v>5.0</v>
      </c>
    </row>
    <row r="182">
      <c r="A182" s="19">
        <v>46287.402956087964</v>
      </c>
      <c r="B182" s="1" t="s">
        <v>162</v>
      </c>
      <c r="C182" s="1" t="s">
        <v>944</v>
      </c>
      <c r="D182" s="1">
        <v>2026.0</v>
      </c>
      <c r="E182" s="1" t="s">
        <v>340</v>
      </c>
      <c r="F182" s="1" t="s">
        <v>945</v>
      </c>
      <c r="G182" s="1">
        <v>3.0</v>
      </c>
      <c r="H182" s="1">
        <v>2.0</v>
      </c>
      <c r="I182" s="1">
        <v>1.0</v>
      </c>
      <c r="J182" s="1">
        <v>4.0</v>
      </c>
      <c r="K182" s="1">
        <v>4.0</v>
      </c>
      <c r="L182" s="1">
        <v>2.0</v>
      </c>
      <c r="M182" s="1">
        <v>2.0</v>
      </c>
      <c r="N182" s="1">
        <v>3.0</v>
      </c>
      <c r="O182" s="1">
        <v>2.0</v>
      </c>
      <c r="P182" s="1">
        <v>3.0</v>
      </c>
      <c r="Q182" s="1">
        <v>3.0</v>
      </c>
      <c r="R182" s="1">
        <v>2.0</v>
      </c>
      <c r="S182" s="1">
        <v>4.0</v>
      </c>
      <c r="T182" s="1">
        <v>3.0</v>
      </c>
      <c r="U182" s="1">
        <v>1.0</v>
      </c>
      <c r="V182" s="1">
        <v>2.0</v>
      </c>
      <c r="W182" s="1">
        <v>2.0</v>
      </c>
      <c r="X182" s="1">
        <v>2.0</v>
      </c>
      <c r="Y182" s="1">
        <v>3.0</v>
      </c>
      <c r="Z182" s="1">
        <v>3.0</v>
      </c>
      <c r="AA182" s="1">
        <v>4.0</v>
      </c>
      <c r="AB182" s="1">
        <v>4.0</v>
      </c>
      <c r="AC182" s="1">
        <v>3.0</v>
      </c>
      <c r="AD182" s="1">
        <v>3.0</v>
      </c>
      <c r="AE182" s="1">
        <v>1.0</v>
      </c>
      <c r="AF182" s="1">
        <v>1.0</v>
      </c>
      <c r="AG182" s="1">
        <v>1.0</v>
      </c>
      <c r="AH182" s="1">
        <v>4.0</v>
      </c>
      <c r="AI182" s="1">
        <v>3.0</v>
      </c>
      <c r="AJ182" s="1">
        <v>3.0</v>
      </c>
      <c r="AK182" s="1">
        <v>3.0</v>
      </c>
      <c r="AL182" s="1">
        <v>2.0</v>
      </c>
      <c r="AM182" s="1">
        <v>1.0</v>
      </c>
      <c r="AN182" s="1">
        <v>4.0</v>
      </c>
      <c r="AO182" s="1">
        <v>3.0</v>
      </c>
      <c r="AP182" s="1">
        <v>2.0</v>
      </c>
      <c r="AQ182" s="1">
        <v>3.0</v>
      </c>
      <c r="AR182" s="1">
        <v>3.0</v>
      </c>
      <c r="AS182" s="1">
        <v>3.0</v>
      </c>
      <c r="AT182" s="1">
        <v>3.0</v>
      </c>
      <c r="AU182" s="1">
        <v>3.0</v>
      </c>
      <c r="AV182" s="1">
        <v>3.0</v>
      </c>
      <c r="AW182" s="1">
        <v>2.0</v>
      </c>
      <c r="AX182" s="1">
        <v>3.0</v>
      </c>
      <c r="AY182" s="1">
        <v>2.0</v>
      </c>
      <c r="AZ182" s="1">
        <v>3.0</v>
      </c>
      <c r="BA182" s="1">
        <v>3.0</v>
      </c>
      <c r="BB182" s="1">
        <v>4.0</v>
      </c>
      <c r="BC182" s="1">
        <v>3.0</v>
      </c>
      <c r="BD182" s="1">
        <v>2.0</v>
      </c>
      <c r="BE182" s="1">
        <v>3.0</v>
      </c>
      <c r="BF182" s="1">
        <v>3.0</v>
      </c>
      <c r="BG182" s="1">
        <v>3.0</v>
      </c>
      <c r="BH182" s="1">
        <v>3.0</v>
      </c>
      <c r="BI182" s="1">
        <v>2.0</v>
      </c>
      <c r="BJ182" s="1">
        <v>2.0</v>
      </c>
      <c r="BK182" s="1">
        <v>1.0</v>
      </c>
      <c r="BL182" s="1">
        <v>3.0</v>
      </c>
      <c r="BM182" s="1">
        <v>4.0</v>
      </c>
      <c r="BN182" s="1">
        <v>3.0</v>
      </c>
      <c r="BO182" s="1">
        <v>3.0</v>
      </c>
      <c r="BP182" s="1">
        <v>1.0</v>
      </c>
      <c r="BQ182" s="1">
        <v>3.0</v>
      </c>
      <c r="BR182" s="1">
        <v>4.0</v>
      </c>
      <c r="BS182" s="1">
        <v>2.0</v>
      </c>
      <c r="BT182" s="1">
        <v>2.0</v>
      </c>
      <c r="BU182" s="1">
        <v>3.0</v>
      </c>
      <c r="BV182" s="1">
        <v>2.0</v>
      </c>
      <c r="BW182" s="1">
        <v>3.0</v>
      </c>
      <c r="BX182" s="1">
        <v>2.0</v>
      </c>
      <c r="BY182" s="1">
        <v>3.0</v>
      </c>
      <c r="BZ182" s="1">
        <v>1.0</v>
      </c>
    </row>
    <row r="183">
      <c r="A183" s="19">
        <v>46287.40296086806</v>
      </c>
      <c r="B183" s="1" t="s">
        <v>162</v>
      </c>
      <c r="C183" s="1" t="s">
        <v>949</v>
      </c>
      <c r="D183" s="1">
        <v>2025.0</v>
      </c>
      <c r="E183" s="1" t="s">
        <v>219</v>
      </c>
      <c r="F183" s="1" t="s">
        <v>950</v>
      </c>
      <c r="G183" s="1">
        <v>5.0</v>
      </c>
      <c r="H183" s="1">
        <v>5.0</v>
      </c>
      <c r="I183" s="1">
        <v>5.0</v>
      </c>
      <c r="J183" s="1">
        <v>5.0</v>
      </c>
      <c r="K183" s="1">
        <v>5.0</v>
      </c>
      <c r="L183" s="1">
        <v>4.0</v>
      </c>
      <c r="M183" s="1">
        <v>5.0</v>
      </c>
      <c r="N183" s="1">
        <v>4.0</v>
      </c>
      <c r="O183" s="1">
        <v>5.0</v>
      </c>
      <c r="P183" s="1">
        <v>5.0</v>
      </c>
      <c r="Q183" s="1">
        <v>5.0</v>
      </c>
      <c r="R183" s="1">
        <v>5.0</v>
      </c>
      <c r="S183" s="1">
        <v>5.0</v>
      </c>
      <c r="T183" s="1">
        <v>4.0</v>
      </c>
      <c r="U183" s="1">
        <v>4.0</v>
      </c>
      <c r="V183" s="1">
        <v>5.0</v>
      </c>
      <c r="W183" s="1">
        <v>5.0</v>
      </c>
      <c r="X183" s="1">
        <v>4.0</v>
      </c>
      <c r="Y183" s="1">
        <v>5.0</v>
      </c>
      <c r="Z183" s="1">
        <v>5.0</v>
      </c>
      <c r="AA183" s="1">
        <v>3.0</v>
      </c>
      <c r="AB183" s="1">
        <v>5.0</v>
      </c>
      <c r="AC183" s="1">
        <v>5.0</v>
      </c>
      <c r="AD183" s="1">
        <v>4.0</v>
      </c>
      <c r="AE183" s="1">
        <v>5.0</v>
      </c>
      <c r="AF183" s="1">
        <v>5.0</v>
      </c>
      <c r="AG183" s="1">
        <v>4.0</v>
      </c>
      <c r="AH183" s="1">
        <v>5.0</v>
      </c>
      <c r="AI183" s="1">
        <v>5.0</v>
      </c>
      <c r="AJ183" s="1">
        <v>4.0</v>
      </c>
      <c r="AK183" s="1">
        <v>4.0</v>
      </c>
      <c r="AL183" s="1">
        <v>4.0</v>
      </c>
      <c r="AM183" s="1">
        <v>3.0</v>
      </c>
      <c r="AN183" s="1">
        <v>5.0</v>
      </c>
      <c r="AO183" s="1">
        <v>3.0</v>
      </c>
      <c r="AP183" s="1">
        <v>3.0</v>
      </c>
      <c r="AQ183" s="1">
        <v>5.0</v>
      </c>
      <c r="AR183" s="1">
        <v>5.0</v>
      </c>
      <c r="AS183" s="1">
        <v>4.0</v>
      </c>
      <c r="AT183" s="1">
        <v>5.0</v>
      </c>
      <c r="AU183" s="1">
        <v>5.0</v>
      </c>
      <c r="AV183" s="1">
        <v>5.0</v>
      </c>
      <c r="AW183" s="1">
        <v>5.0</v>
      </c>
      <c r="AX183" s="1">
        <v>4.0</v>
      </c>
      <c r="AY183" s="1">
        <v>3.0</v>
      </c>
      <c r="AZ183" s="1">
        <v>5.0</v>
      </c>
      <c r="BA183" s="1">
        <v>4.0</v>
      </c>
      <c r="BB183" s="1">
        <v>4.0</v>
      </c>
      <c r="BC183" s="1">
        <v>5.0</v>
      </c>
      <c r="BD183" s="1">
        <v>5.0</v>
      </c>
      <c r="BE183" s="1">
        <v>3.0</v>
      </c>
      <c r="BF183" s="1">
        <v>5.0</v>
      </c>
      <c r="BG183" s="1">
        <v>5.0</v>
      </c>
      <c r="BH183" s="1">
        <v>4.0</v>
      </c>
      <c r="BI183" s="1">
        <v>5.0</v>
      </c>
      <c r="BJ183" s="1">
        <v>5.0</v>
      </c>
      <c r="BK183" s="1">
        <v>3.0</v>
      </c>
      <c r="BL183" s="1">
        <v>5.0</v>
      </c>
      <c r="BM183" s="1">
        <v>5.0</v>
      </c>
      <c r="BN183" s="1">
        <v>5.0</v>
      </c>
      <c r="BO183" s="1">
        <v>5.0</v>
      </c>
      <c r="BP183" s="1">
        <v>4.0</v>
      </c>
      <c r="BQ183" s="1">
        <v>3.0</v>
      </c>
      <c r="BR183" s="1">
        <v>5.0</v>
      </c>
      <c r="BS183" s="1">
        <v>5.0</v>
      </c>
      <c r="BT183" s="1">
        <v>5.0</v>
      </c>
      <c r="BU183" s="1">
        <v>5.0</v>
      </c>
      <c r="BV183" s="1">
        <v>5.0</v>
      </c>
      <c r="BW183" s="1">
        <v>4.0</v>
      </c>
      <c r="BX183" s="1">
        <v>5.0</v>
      </c>
      <c r="BY183" s="1">
        <v>5.0</v>
      </c>
      <c r="BZ183" s="1">
        <v>5.0</v>
      </c>
    </row>
    <row r="184">
      <c r="A184" s="19">
        <v>46287.40298261574</v>
      </c>
      <c r="B184" s="1" t="s">
        <v>162</v>
      </c>
      <c r="C184" s="1" t="s">
        <v>951</v>
      </c>
      <c r="D184" s="1">
        <v>2026.0</v>
      </c>
      <c r="E184" s="1" t="s">
        <v>296</v>
      </c>
      <c r="F184" s="1" t="s">
        <v>952</v>
      </c>
      <c r="G184" s="1">
        <v>1.0</v>
      </c>
      <c r="H184" s="1">
        <v>1.0</v>
      </c>
      <c r="I184" s="1">
        <v>5.0</v>
      </c>
      <c r="J184" s="1">
        <v>5.0</v>
      </c>
      <c r="K184" s="1">
        <v>1.0</v>
      </c>
      <c r="L184" s="1">
        <v>1.0</v>
      </c>
      <c r="M184" s="1">
        <v>1.0</v>
      </c>
      <c r="N184" s="1">
        <v>1.0</v>
      </c>
      <c r="O184" s="1">
        <v>1.0</v>
      </c>
      <c r="P184" s="1">
        <v>1.0</v>
      </c>
      <c r="Q184" s="1">
        <v>1.0</v>
      </c>
      <c r="R184" s="1">
        <v>1.0</v>
      </c>
      <c r="S184" s="1">
        <v>1.0</v>
      </c>
      <c r="T184" s="1">
        <v>1.0</v>
      </c>
      <c r="U184" s="1">
        <v>5.0</v>
      </c>
      <c r="V184" s="1">
        <v>1.0</v>
      </c>
      <c r="W184" s="1">
        <v>1.0</v>
      </c>
      <c r="X184" s="1">
        <v>1.0</v>
      </c>
      <c r="Y184" s="1">
        <v>1.0</v>
      </c>
      <c r="Z184" s="1">
        <v>1.0</v>
      </c>
      <c r="AA184" s="1">
        <v>5.0</v>
      </c>
      <c r="AB184" s="1">
        <v>5.0</v>
      </c>
      <c r="AC184" s="1">
        <v>1.0</v>
      </c>
      <c r="AD184" s="1">
        <v>1.0</v>
      </c>
      <c r="AE184" s="1">
        <v>1.0</v>
      </c>
      <c r="AF184" s="1">
        <v>1.0</v>
      </c>
      <c r="AG184" s="1">
        <v>1.0</v>
      </c>
      <c r="AH184" s="1">
        <v>5.0</v>
      </c>
      <c r="AI184" s="1">
        <v>1.0</v>
      </c>
      <c r="AJ184" s="1">
        <v>1.0</v>
      </c>
      <c r="AK184" s="1">
        <v>1.0</v>
      </c>
      <c r="AL184" s="1">
        <v>1.0</v>
      </c>
      <c r="AM184" s="1">
        <v>5.0</v>
      </c>
      <c r="AN184" s="1">
        <v>1.0</v>
      </c>
      <c r="AO184" s="1">
        <v>1.0</v>
      </c>
      <c r="AP184" s="1">
        <v>1.0</v>
      </c>
      <c r="AQ184" s="1">
        <v>1.0</v>
      </c>
      <c r="AR184" s="1">
        <v>1.0</v>
      </c>
      <c r="AS184" s="1">
        <v>5.0</v>
      </c>
      <c r="AT184" s="1">
        <v>3.0</v>
      </c>
      <c r="AU184" s="1">
        <v>1.0</v>
      </c>
      <c r="AV184" s="1">
        <v>1.0</v>
      </c>
      <c r="AW184" s="1">
        <v>1.0</v>
      </c>
      <c r="AX184" s="1">
        <v>1.0</v>
      </c>
      <c r="AY184" s="1">
        <v>5.0</v>
      </c>
      <c r="AZ184" s="1">
        <v>5.0</v>
      </c>
      <c r="BA184" s="1">
        <v>5.0</v>
      </c>
      <c r="BB184" s="1">
        <v>1.0</v>
      </c>
      <c r="BC184" s="1">
        <v>1.0</v>
      </c>
      <c r="BD184" s="1">
        <v>1.0</v>
      </c>
      <c r="BE184" s="1">
        <v>5.0</v>
      </c>
      <c r="BF184" s="1">
        <v>5.0</v>
      </c>
      <c r="BG184" s="1">
        <v>3.0</v>
      </c>
      <c r="BH184" s="1">
        <v>1.0</v>
      </c>
      <c r="BI184" s="1">
        <v>3.0</v>
      </c>
      <c r="BJ184" s="1">
        <v>5.0</v>
      </c>
      <c r="BK184" s="1">
        <v>5.0</v>
      </c>
      <c r="BL184" s="1">
        <v>3.0</v>
      </c>
      <c r="BM184" s="1">
        <v>5.0</v>
      </c>
      <c r="BN184" s="1">
        <v>1.0</v>
      </c>
      <c r="BO184" s="1">
        <v>1.0</v>
      </c>
      <c r="BP184" s="1">
        <v>1.0</v>
      </c>
      <c r="BQ184" s="1">
        <v>5.0</v>
      </c>
      <c r="BR184" s="1">
        <v>5.0</v>
      </c>
      <c r="BS184" s="1">
        <v>5.0</v>
      </c>
      <c r="BT184" s="1">
        <v>1.0</v>
      </c>
      <c r="BU184" s="1">
        <v>3.0</v>
      </c>
      <c r="BV184" s="1">
        <v>1.0</v>
      </c>
      <c r="BW184" s="1">
        <v>1.0</v>
      </c>
      <c r="BX184" s="1">
        <v>4.0</v>
      </c>
      <c r="BY184" s="1">
        <v>3.0</v>
      </c>
      <c r="BZ184" s="1">
        <v>5.0</v>
      </c>
    </row>
    <row r="185">
      <c r="A185" s="19">
        <v>46287.403041875004</v>
      </c>
      <c r="B185" s="1" t="s">
        <v>162</v>
      </c>
      <c r="C185" s="1" t="s">
        <v>953</v>
      </c>
      <c r="D185" s="1">
        <v>2026.0</v>
      </c>
      <c r="E185" s="1" t="s">
        <v>365</v>
      </c>
      <c r="F185" s="1" t="s">
        <v>954</v>
      </c>
      <c r="G185" s="1">
        <v>2.0</v>
      </c>
      <c r="H185" s="1">
        <v>3.0</v>
      </c>
      <c r="I185" s="1">
        <v>2.0</v>
      </c>
      <c r="J185" s="1">
        <v>3.0</v>
      </c>
      <c r="K185" s="1">
        <v>3.0</v>
      </c>
      <c r="L185" s="1">
        <v>5.0</v>
      </c>
      <c r="M185" s="1">
        <v>1.0</v>
      </c>
      <c r="N185" s="1">
        <v>5.0</v>
      </c>
      <c r="O185" s="1">
        <v>5.0</v>
      </c>
      <c r="P185" s="1">
        <v>4.0</v>
      </c>
      <c r="Q185" s="1">
        <v>3.0</v>
      </c>
      <c r="R185" s="1">
        <v>3.0</v>
      </c>
      <c r="S185" s="1">
        <v>2.0</v>
      </c>
      <c r="T185" s="1">
        <v>4.0</v>
      </c>
      <c r="U185" s="1">
        <v>3.0</v>
      </c>
      <c r="V185" s="1">
        <v>3.0</v>
      </c>
      <c r="W185" s="1">
        <v>3.0</v>
      </c>
      <c r="X185" s="1">
        <v>4.0</v>
      </c>
      <c r="Y185" s="1">
        <v>1.0</v>
      </c>
      <c r="Z185" s="1">
        <v>4.0</v>
      </c>
      <c r="AA185" s="1">
        <v>5.0</v>
      </c>
      <c r="AB185" s="1">
        <v>4.0</v>
      </c>
      <c r="AC185" s="1">
        <v>3.0</v>
      </c>
      <c r="AD185" s="1">
        <v>4.0</v>
      </c>
      <c r="AE185" s="1">
        <v>2.0</v>
      </c>
      <c r="AF185" s="1">
        <v>1.0</v>
      </c>
      <c r="AG185" s="1">
        <v>4.0</v>
      </c>
      <c r="AH185" s="1">
        <v>1.0</v>
      </c>
      <c r="AI185" s="1">
        <v>3.0</v>
      </c>
      <c r="AJ185" s="1">
        <v>3.0</v>
      </c>
      <c r="AK185" s="1">
        <v>3.0</v>
      </c>
      <c r="AL185" s="1">
        <v>4.0</v>
      </c>
      <c r="AM185" s="1">
        <v>4.0</v>
      </c>
      <c r="AN185" s="1">
        <v>3.0</v>
      </c>
      <c r="AO185" s="1">
        <v>4.0</v>
      </c>
      <c r="AP185" s="1">
        <v>4.0</v>
      </c>
      <c r="AQ185" s="1">
        <v>1.0</v>
      </c>
      <c r="AR185" s="1">
        <v>1.0</v>
      </c>
      <c r="AS185" s="1">
        <v>5.0</v>
      </c>
      <c r="AT185" s="1">
        <v>3.0</v>
      </c>
      <c r="AU185" s="1">
        <v>1.0</v>
      </c>
      <c r="AV185" s="1">
        <v>2.0</v>
      </c>
      <c r="AW185" s="1">
        <v>1.0</v>
      </c>
      <c r="AX185" s="1">
        <v>4.0</v>
      </c>
      <c r="AY185" s="1">
        <v>5.0</v>
      </c>
      <c r="AZ185" s="1">
        <v>3.0</v>
      </c>
      <c r="BA185" s="1">
        <v>4.0</v>
      </c>
      <c r="BB185" s="1">
        <v>4.0</v>
      </c>
      <c r="BC185" s="1">
        <v>3.0</v>
      </c>
      <c r="BD185" s="1">
        <v>2.0</v>
      </c>
      <c r="BE185" s="1">
        <v>4.0</v>
      </c>
      <c r="BF185" s="1">
        <v>4.0</v>
      </c>
      <c r="BG185" s="1">
        <v>3.0</v>
      </c>
      <c r="BH185" s="1">
        <v>2.0</v>
      </c>
      <c r="BI185" s="1">
        <v>2.0</v>
      </c>
      <c r="BJ185" s="1">
        <v>4.0</v>
      </c>
      <c r="BK185" s="1">
        <v>5.0</v>
      </c>
      <c r="BL185" s="1">
        <v>3.0</v>
      </c>
      <c r="BM185" s="1">
        <v>2.0</v>
      </c>
      <c r="BN185" s="1">
        <v>1.0</v>
      </c>
      <c r="BO185" s="1">
        <v>3.0</v>
      </c>
      <c r="BP185" s="1">
        <v>3.0</v>
      </c>
      <c r="BQ185" s="1">
        <v>3.0</v>
      </c>
      <c r="BR185" s="1">
        <v>4.0</v>
      </c>
      <c r="BS185" s="1">
        <v>3.0</v>
      </c>
      <c r="BT185" s="1">
        <v>4.0</v>
      </c>
      <c r="BU185" s="1">
        <v>4.0</v>
      </c>
      <c r="BV185" s="1">
        <v>4.0</v>
      </c>
      <c r="BW185" s="1">
        <v>5.0</v>
      </c>
      <c r="BX185" s="1">
        <v>3.0</v>
      </c>
      <c r="BY185" s="1">
        <v>4.0</v>
      </c>
      <c r="BZ185" s="1">
        <v>2.0</v>
      </c>
    </row>
    <row r="186">
      <c r="A186" s="19">
        <v>46287.40305137732</v>
      </c>
      <c r="B186" s="1" t="s">
        <v>162</v>
      </c>
      <c r="C186" s="1" t="s">
        <v>958</v>
      </c>
      <c r="D186" s="1">
        <v>2025.0</v>
      </c>
      <c r="E186" s="1" t="s">
        <v>239</v>
      </c>
      <c r="F186" s="1" t="s">
        <v>959</v>
      </c>
      <c r="G186" s="1">
        <v>4.0</v>
      </c>
      <c r="H186" s="1">
        <v>5.0</v>
      </c>
      <c r="I186" s="1">
        <v>5.0</v>
      </c>
      <c r="J186" s="1">
        <v>5.0</v>
      </c>
      <c r="K186" s="1">
        <v>4.0</v>
      </c>
      <c r="L186" s="1">
        <v>3.0</v>
      </c>
      <c r="M186" s="1">
        <v>5.0</v>
      </c>
      <c r="N186" s="1">
        <v>4.0</v>
      </c>
      <c r="O186" s="1">
        <v>5.0</v>
      </c>
      <c r="P186" s="1">
        <v>4.0</v>
      </c>
      <c r="Q186" s="1">
        <v>4.0</v>
      </c>
      <c r="R186" s="1">
        <v>3.0</v>
      </c>
      <c r="S186" s="1">
        <v>5.0</v>
      </c>
      <c r="T186" s="1">
        <v>4.0</v>
      </c>
      <c r="U186" s="1">
        <v>5.0</v>
      </c>
      <c r="V186" s="1">
        <v>4.0</v>
      </c>
      <c r="W186" s="1">
        <v>4.0</v>
      </c>
      <c r="X186" s="1">
        <v>4.0</v>
      </c>
      <c r="Y186" s="1">
        <v>4.0</v>
      </c>
      <c r="Z186" s="1">
        <v>5.0</v>
      </c>
      <c r="AA186" s="1">
        <v>5.0</v>
      </c>
      <c r="AB186" s="1">
        <v>5.0</v>
      </c>
      <c r="AC186" s="1">
        <v>4.0</v>
      </c>
      <c r="AD186" s="1">
        <v>4.0</v>
      </c>
      <c r="AE186" s="1">
        <v>3.0</v>
      </c>
      <c r="AF186" s="1">
        <v>4.0</v>
      </c>
      <c r="AG186" s="1">
        <v>4.0</v>
      </c>
      <c r="AH186" s="1">
        <v>5.0</v>
      </c>
      <c r="AI186" s="1">
        <v>5.0</v>
      </c>
      <c r="AJ186" s="1">
        <v>4.0</v>
      </c>
      <c r="AK186" s="1">
        <v>4.0</v>
      </c>
      <c r="AL186" s="1">
        <v>4.0</v>
      </c>
      <c r="AM186" s="1">
        <v>5.0</v>
      </c>
      <c r="AN186" s="1">
        <v>4.0</v>
      </c>
      <c r="AO186" s="1">
        <v>4.0</v>
      </c>
      <c r="AP186" s="1">
        <v>4.0</v>
      </c>
      <c r="AQ186" s="1">
        <v>4.0</v>
      </c>
      <c r="AR186" s="1">
        <v>4.0</v>
      </c>
      <c r="AS186" s="1">
        <v>5.0</v>
      </c>
      <c r="AT186" s="1">
        <v>5.0</v>
      </c>
      <c r="AU186" s="1">
        <v>4.0</v>
      </c>
      <c r="AV186" s="1">
        <v>4.0</v>
      </c>
      <c r="AW186" s="1">
        <v>4.0</v>
      </c>
      <c r="AX186" s="1">
        <v>4.0</v>
      </c>
      <c r="AY186" s="1">
        <v>5.0</v>
      </c>
      <c r="AZ186" s="1">
        <v>4.0</v>
      </c>
      <c r="BA186" s="1">
        <v>5.0</v>
      </c>
      <c r="BB186" s="1">
        <v>4.0</v>
      </c>
      <c r="BC186" s="1">
        <v>4.0</v>
      </c>
      <c r="BD186" s="1">
        <v>5.0</v>
      </c>
      <c r="BE186" s="1">
        <v>5.0</v>
      </c>
      <c r="BF186" s="1">
        <v>5.0</v>
      </c>
      <c r="BG186" s="1">
        <v>5.0</v>
      </c>
      <c r="BH186" s="1">
        <v>5.0</v>
      </c>
      <c r="BI186" s="1">
        <v>5.0</v>
      </c>
      <c r="BJ186" s="1">
        <v>5.0</v>
      </c>
      <c r="BK186" s="1">
        <v>4.0</v>
      </c>
      <c r="BL186" s="1">
        <v>5.0</v>
      </c>
      <c r="BM186" s="1">
        <v>4.0</v>
      </c>
      <c r="BN186" s="1">
        <v>5.0</v>
      </c>
      <c r="BO186" s="1">
        <v>4.0</v>
      </c>
      <c r="BP186" s="1">
        <v>4.0</v>
      </c>
      <c r="BQ186" s="1">
        <v>5.0</v>
      </c>
      <c r="BR186" s="1">
        <v>5.0</v>
      </c>
      <c r="BS186" s="1">
        <v>4.0</v>
      </c>
      <c r="BT186" s="1">
        <v>4.0</v>
      </c>
      <c r="BU186" s="1">
        <v>4.0</v>
      </c>
      <c r="BV186" s="1">
        <v>4.0</v>
      </c>
      <c r="BW186" s="1">
        <v>4.0</v>
      </c>
      <c r="BX186" s="1">
        <v>5.0</v>
      </c>
      <c r="BY186" s="1">
        <v>4.0</v>
      </c>
      <c r="BZ186" s="1">
        <v>4.0</v>
      </c>
    </row>
    <row r="187">
      <c r="A187" s="19">
        <v>46287.40320247685</v>
      </c>
      <c r="B187" s="1" t="s">
        <v>162</v>
      </c>
      <c r="C187" s="1" t="s">
        <v>963</v>
      </c>
      <c r="D187" s="1">
        <v>2025.0</v>
      </c>
      <c r="E187" s="1" t="s">
        <v>239</v>
      </c>
      <c r="F187" s="1" t="s">
        <v>964</v>
      </c>
      <c r="G187" s="1">
        <v>5.0</v>
      </c>
      <c r="H187" s="1">
        <v>5.0</v>
      </c>
      <c r="I187" s="1">
        <v>3.0</v>
      </c>
      <c r="J187" s="1">
        <v>5.0</v>
      </c>
      <c r="K187" s="1">
        <v>5.0</v>
      </c>
      <c r="L187" s="1">
        <v>4.0</v>
      </c>
      <c r="M187" s="1">
        <v>5.0</v>
      </c>
      <c r="N187" s="1">
        <v>3.0</v>
      </c>
      <c r="O187" s="1">
        <v>5.0</v>
      </c>
      <c r="P187" s="1">
        <v>5.0</v>
      </c>
      <c r="Q187" s="1">
        <v>5.0</v>
      </c>
      <c r="R187" s="1">
        <v>5.0</v>
      </c>
      <c r="S187" s="1">
        <v>4.0</v>
      </c>
      <c r="T187" s="1">
        <v>5.0</v>
      </c>
      <c r="U187" s="1">
        <v>2.0</v>
      </c>
      <c r="V187" s="1">
        <v>5.0</v>
      </c>
      <c r="W187" s="1">
        <v>5.0</v>
      </c>
      <c r="X187" s="1">
        <v>3.0</v>
      </c>
      <c r="Y187" s="1">
        <v>3.0</v>
      </c>
      <c r="Z187" s="1">
        <v>5.0</v>
      </c>
      <c r="AA187" s="1">
        <v>3.0</v>
      </c>
      <c r="AB187" s="1">
        <v>5.0</v>
      </c>
      <c r="AC187" s="1">
        <v>5.0</v>
      </c>
      <c r="AD187" s="1">
        <v>4.0</v>
      </c>
      <c r="AE187" s="1">
        <v>3.0</v>
      </c>
      <c r="AF187" s="1">
        <v>5.0</v>
      </c>
      <c r="AG187" s="1">
        <v>5.0</v>
      </c>
      <c r="AH187" s="1">
        <v>5.0</v>
      </c>
      <c r="AI187" s="1">
        <v>5.0</v>
      </c>
      <c r="AJ187" s="1">
        <v>5.0</v>
      </c>
      <c r="AK187" s="1">
        <v>5.0</v>
      </c>
      <c r="AL187" s="1">
        <v>3.0</v>
      </c>
      <c r="AM187" s="1">
        <v>3.0</v>
      </c>
      <c r="AN187" s="1">
        <v>5.0</v>
      </c>
      <c r="AO187" s="1">
        <v>3.0</v>
      </c>
      <c r="AP187" s="1">
        <v>4.0</v>
      </c>
      <c r="AQ187" s="1">
        <v>5.0</v>
      </c>
      <c r="AR187" s="1">
        <v>5.0</v>
      </c>
      <c r="AS187" s="1">
        <v>3.0</v>
      </c>
      <c r="AT187" s="1">
        <v>5.0</v>
      </c>
      <c r="AU187" s="1">
        <v>5.0</v>
      </c>
      <c r="AV187" s="1">
        <v>5.0</v>
      </c>
      <c r="AW187" s="1">
        <v>3.0</v>
      </c>
      <c r="AX187" s="1">
        <v>3.0</v>
      </c>
      <c r="AY187" s="1">
        <v>5.0</v>
      </c>
      <c r="AZ187" s="1">
        <v>5.0</v>
      </c>
      <c r="BA187" s="1">
        <v>5.0</v>
      </c>
      <c r="BB187" s="1">
        <v>5.0</v>
      </c>
      <c r="BC187" s="1">
        <v>5.0</v>
      </c>
      <c r="BD187" s="1">
        <v>5.0</v>
      </c>
      <c r="BE187" s="1">
        <v>3.0</v>
      </c>
      <c r="BF187" s="1">
        <v>5.0</v>
      </c>
      <c r="BG187" s="1">
        <v>5.0</v>
      </c>
      <c r="BH187" s="1">
        <v>3.0</v>
      </c>
      <c r="BI187" s="1">
        <v>5.0</v>
      </c>
      <c r="BJ187" s="1">
        <v>5.0</v>
      </c>
      <c r="BK187" s="1">
        <v>5.0</v>
      </c>
      <c r="BL187" s="1">
        <v>5.0</v>
      </c>
      <c r="BM187" s="1">
        <v>5.0</v>
      </c>
      <c r="BN187" s="1">
        <v>3.0</v>
      </c>
      <c r="BO187" s="1">
        <v>5.0</v>
      </c>
      <c r="BP187" s="1">
        <v>3.0</v>
      </c>
      <c r="BQ187" s="1">
        <v>3.0</v>
      </c>
      <c r="BR187" s="1">
        <v>5.0</v>
      </c>
      <c r="BS187" s="1">
        <v>5.0</v>
      </c>
      <c r="BT187" s="1">
        <v>5.0</v>
      </c>
      <c r="BU187" s="1">
        <v>3.0</v>
      </c>
      <c r="BV187" s="1">
        <v>3.0</v>
      </c>
      <c r="BW187" s="1">
        <v>4.0</v>
      </c>
      <c r="BX187" s="1">
        <v>5.0</v>
      </c>
      <c r="BY187" s="1">
        <v>5.0</v>
      </c>
      <c r="BZ187" s="1">
        <v>4.0</v>
      </c>
    </row>
    <row r="188">
      <c r="A188" s="19">
        <v>46287.40324827546</v>
      </c>
      <c r="B188" s="1" t="s">
        <v>162</v>
      </c>
      <c r="C188" s="1" t="s">
        <v>968</v>
      </c>
      <c r="D188" s="1">
        <v>2025.0</v>
      </c>
      <c r="E188" s="1" t="s">
        <v>768</v>
      </c>
      <c r="F188" s="1" t="s">
        <v>969</v>
      </c>
      <c r="G188" s="1">
        <v>5.0</v>
      </c>
      <c r="H188" s="1">
        <v>4.0</v>
      </c>
      <c r="I188" s="1">
        <v>3.0</v>
      </c>
      <c r="J188" s="1">
        <v>5.0</v>
      </c>
      <c r="K188" s="1">
        <v>5.0</v>
      </c>
      <c r="L188" s="1">
        <v>5.0</v>
      </c>
      <c r="M188" s="1">
        <v>4.0</v>
      </c>
      <c r="N188" s="1">
        <v>4.0</v>
      </c>
      <c r="O188" s="1">
        <v>4.0</v>
      </c>
      <c r="P188" s="1">
        <v>4.0</v>
      </c>
      <c r="Q188" s="1">
        <v>4.0</v>
      </c>
      <c r="R188" s="1">
        <v>4.0</v>
      </c>
      <c r="S188" s="1">
        <v>3.0</v>
      </c>
      <c r="T188" s="1">
        <v>3.0</v>
      </c>
      <c r="U188" s="1">
        <v>4.0</v>
      </c>
      <c r="V188" s="1">
        <v>5.0</v>
      </c>
      <c r="W188" s="1">
        <v>4.0</v>
      </c>
      <c r="X188" s="1">
        <v>3.0</v>
      </c>
      <c r="Y188" s="1">
        <v>3.0</v>
      </c>
      <c r="Z188" s="1">
        <v>3.0</v>
      </c>
      <c r="AA188" s="1">
        <v>5.0</v>
      </c>
      <c r="AB188" s="1">
        <v>5.0</v>
      </c>
      <c r="AC188" s="1">
        <v>5.0</v>
      </c>
      <c r="AD188" s="1">
        <v>5.0</v>
      </c>
      <c r="AE188" s="1">
        <v>2.0</v>
      </c>
      <c r="AF188" s="1">
        <v>5.0</v>
      </c>
      <c r="AG188" s="1">
        <v>4.0</v>
      </c>
      <c r="AH188" s="1">
        <v>5.0</v>
      </c>
      <c r="AI188" s="1">
        <v>5.0</v>
      </c>
      <c r="AJ188" s="1">
        <v>5.0</v>
      </c>
      <c r="AK188" s="1">
        <v>5.0</v>
      </c>
      <c r="AL188" s="1">
        <v>5.0</v>
      </c>
      <c r="AM188" s="1">
        <v>4.0</v>
      </c>
      <c r="AN188" s="1">
        <v>5.0</v>
      </c>
      <c r="AO188" s="1">
        <v>4.0</v>
      </c>
      <c r="AP188" s="1">
        <v>4.0</v>
      </c>
      <c r="AQ188" s="1">
        <v>3.0</v>
      </c>
      <c r="AR188" s="1">
        <v>5.0</v>
      </c>
      <c r="AS188" s="1">
        <v>2.0</v>
      </c>
      <c r="AT188" s="1">
        <v>5.0</v>
      </c>
      <c r="AU188" s="1">
        <v>5.0</v>
      </c>
      <c r="AV188" s="1">
        <v>5.0</v>
      </c>
      <c r="AW188" s="1">
        <v>3.0</v>
      </c>
      <c r="AX188" s="1">
        <v>4.0</v>
      </c>
      <c r="AY188" s="1">
        <v>5.0</v>
      </c>
      <c r="AZ188" s="1">
        <v>5.0</v>
      </c>
      <c r="BA188" s="1">
        <v>4.0</v>
      </c>
      <c r="BB188" s="1">
        <v>4.0</v>
      </c>
      <c r="BC188" s="1">
        <v>4.0</v>
      </c>
      <c r="BD188" s="1">
        <v>5.0</v>
      </c>
      <c r="BE188" s="1">
        <v>4.0</v>
      </c>
      <c r="BF188" s="1">
        <v>5.0</v>
      </c>
      <c r="BG188" s="1">
        <v>5.0</v>
      </c>
      <c r="BH188" s="1">
        <v>4.0</v>
      </c>
      <c r="BI188" s="1">
        <v>3.0</v>
      </c>
      <c r="BJ188" s="1">
        <v>4.0</v>
      </c>
      <c r="BK188" s="1">
        <v>5.0</v>
      </c>
      <c r="BL188" s="1">
        <v>5.0</v>
      </c>
      <c r="BM188" s="1">
        <v>5.0</v>
      </c>
      <c r="BN188" s="1">
        <v>5.0</v>
      </c>
      <c r="BO188" s="1">
        <v>5.0</v>
      </c>
      <c r="BP188" s="1">
        <v>4.0</v>
      </c>
      <c r="BQ188" s="1">
        <v>5.0</v>
      </c>
      <c r="BR188" s="1">
        <v>5.0</v>
      </c>
      <c r="BS188" s="1">
        <v>5.0</v>
      </c>
      <c r="BT188" s="1">
        <v>5.0</v>
      </c>
      <c r="BU188" s="1">
        <v>5.0</v>
      </c>
      <c r="BV188" s="1">
        <v>4.0</v>
      </c>
      <c r="BW188" s="1">
        <v>5.0</v>
      </c>
      <c r="BX188" s="1">
        <v>5.0</v>
      </c>
      <c r="BY188" s="1">
        <v>5.0</v>
      </c>
      <c r="BZ188" s="1">
        <v>3.0</v>
      </c>
    </row>
    <row r="189">
      <c r="A189" s="19">
        <v>46287.40326490741</v>
      </c>
      <c r="B189" s="1" t="s">
        <v>162</v>
      </c>
      <c r="C189" s="1" t="s">
        <v>970</v>
      </c>
      <c r="D189" s="1">
        <v>2026.0</v>
      </c>
      <c r="E189" s="1" t="s">
        <v>356</v>
      </c>
      <c r="F189" s="1" t="s">
        <v>971</v>
      </c>
      <c r="G189" s="1">
        <v>4.0</v>
      </c>
      <c r="H189" s="1">
        <v>4.0</v>
      </c>
      <c r="I189" s="1">
        <v>2.0</v>
      </c>
      <c r="J189" s="1">
        <v>4.0</v>
      </c>
      <c r="K189" s="1">
        <v>4.0</v>
      </c>
      <c r="L189" s="1">
        <v>4.0</v>
      </c>
      <c r="M189" s="1">
        <v>4.0</v>
      </c>
      <c r="N189" s="1">
        <v>4.0</v>
      </c>
      <c r="O189" s="1">
        <v>3.0</v>
      </c>
      <c r="P189" s="1">
        <v>4.0</v>
      </c>
      <c r="Q189" s="1">
        <v>4.0</v>
      </c>
      <c r="R189" s="1">
        <v>4.0</v>
      </c>
      <c r="S189" s="1">
        <v>3.0</v>
      </c>
      <c r="T189" s="1">
        <v>4.0</v>
      </c>
      <c r="U189" s="1">
        <v>1.0</v>
      </c>
      <c r="V189" s="1">
        <v>3.0</v>
      </c>
      <c r="W189" s="1">
        <v>4.0</v>
      </c>
      <c r="X189" s="1">
        <v>2.0</v>
      </c>
      <c r="Y189" s="1">
        <v>3.0</v>
      </c>
      <c r="Z189" s="1">
        <v>4.0</v>
      </c>
      <c r="AA189" s="1">
        <v>2.0</v>
      </c>
      <c r="AB189" s="1">
        <v>4.0</v>
      </c>
      <c r="AC189" s="1">
        <v>4.0</v>
      </c>
      <c r="AD189" s="1">
        <v>4.0</v>
      </c>
      <c r="AE189" s="1">
        <v>4.0</v>
      </c>
      <c r="AF189" s="1">
        <v>4.0</v>
      </c>
      <c r="AG189" s="1">
        <v>3.0</v>
      </c>
      <c r="AH189" s="1">
        <v>4.0</v>
      </c>
      <c r="AI189" s="1">
        <v>4.0</v>
      </c>
      <c r="AJ189" s="1">
        <v>4.0</v>
      </c>
      <c r="AK189" s="1">
        <v>4.0</v>
      </c>
      <c r="AL189" s="1">
        <v>4.0</v>
      </c>
      <c r="AM189" s="1">
        <v>3.0</v>
      </c>
      <c r="AN189" s="1">
        <v>4.0</v>
      </c>
      <c r="AO189" s="1">
        <v>4.0</v>
      </c>
      <c r="AP189" s="1">
        <v>3.0</v>
      </c>
      <c r="AQ189" s="1">
        <v>3.0</v>
      </c>
      <c r="AR189" s="1">
        <v>4.0</v>
      </c>
      <c r="AS189" s="1">
        <v>3.0</v>
      </c>
      <c r="AT189" s="1">
        <v>4.0</v>
      </c>
      <c r="AU189" s="1">
        <v>4.0</v>
      </c>
      <c r="AV189" s="1">
        <v>4.0</v>
      </c>
      <c r="AW189" s="1">
        <v>4.0</v>
      </c>
      <c r="AX189" s="1">
        <v>3.0</v>
      </c>
      <c r="AY189" s="1">
        <v>2.0</v>
      </c>
      <c r="AZ189" s="1">
        <v>4.0</v>
      </c>
      <c r="BA189" s="1">
        <v>3.0</v>
      </c>
      <c r="BB189" s="1">
        <v>5.0</v>
      </c>
      <c r="BC189" s="1">
        <v>4.0</v>
      </c>
      <c r="BD189" s="1">
        <v>4.0</v>
      </c>
      <c r="BE189" s="1">
        <v>2.0</v>
      </c>
      <c r="BF189" s="1">
        <v>5.0</v>
      </c>
      <c r="BG189" s="1">
        <v>4.0</v>
      </c>
      <c r="BH189" s="1">
        <v>4.0</v>
      </c>
      <c r="BI189" s="1">
        <v>4.0</v>
      </c>
      <c r="BJ189" s="1">
        <v>3.0</v>
      </c>
      <c r="BK189" s="1">
        <v>2.0</v>
      </c>
      <c r="BL189" s="1">
        <v>5.0</v>
      </c>
      <c r="BM189" s="1">
        <v>4.0</v>
      </c>
      <c r="BN189" s="1">
        <v>4.0</v>
      </c>
      <c r="BO189" s="1">
        <v>4.0</v>
      </c>
      <c r="BP189" s="1">
        <v>4.0</v>
      </c>
      <c r="BQ189" s="1">
        <v>4.0</v>
      </c>
      <c r="BR189" s="1">
        <v>4.0</v>
      </c>
      <c r="BS189" s="1">
        <v>5.0</v>
      </c>
      <c r="BT189" s="1">
        <v>4.0</v>
      </c>
      <c r="BU189" s="1">
        <v>4.0</v>
      </c>
      <c r="BV189" s="1">
        <v>4.0</v>
      </c>
      <c r="BW189" s="1">
        <v>4.0</v>
      </c>
      <c r="BX189" s="1">
        <v>4.0</v>
      </c>
      <c r="BY189" s="1">
        <v>4.0</v>
      </c>
      <c r="BZ189" s="1">
        <v>4.0</v>
      </c>
    </row>
    <row r="190">
      <c r="A190" s="19">
        <v>46287.40331297454</v>
      </c>
      <c r="B190" s="1" t="s">
        <v>162</v>
      </c>
      <c r="C190" s="1" t="s">
        <v>972</v>
      </c>
      <c r="D190" s="1">
        <v>2025.0</v>
      </c>
      <c r="E190" s="1" t="s">
        <v>189</v>
      </c>
      <c r="F190" s="1" t="s">
        <v>973</v>
      </c>
      <c r="G190" s="1">
        <v>3.0</v>
      </c>
      <c r="H190" s="1">
        <v>3.0</v>
      </c>
      <c r="I190" s="1">
        <v>5.0</v>
      </c>
      <c r="J190" s="1">
        <v>5.0</v>
      </c>
      <c r="K190" s="1">
        <v>5.0</v>
      </c>
      <c r="L190" s="1">
        <v>4.0</v>
      </c>
      <c r="M190" s="1">
        <v>3.0</v>
      </c>
      <c r="N190" s="1">
        <v>4.0</v>
      </c>
      <c r="O190" s="1">
        <v>4.0</v>
      </c>
      <c r="P190" s="1">
        <v>5.0</v>
      </c>
      <c r="Q190" s="1">
        <v>4.0</v>
      </c>
      <c r="R190" s="1">
        <v>4.0</v>
      </c>
      <c r="S190" s="1">
        <v>4.0</v>
      </c>
      <c r="T190" s="1">
        <v>4.0</v>
      </c>
      <c r="U190" s="1">
        <v>4.0</v>
      </c>
      <c r="V190" s="1">
        <v>4.0</v>
      </c>
      <c r="W190" s="1">
        <v>4.0</v>
      </c>
      <c r="X190" s="1">
        <v>4.0</v>
      </c>
      <c r="Y190" s="1">
        <v>4.0</v>
      </c>
      <c r="Z190" s="1">
        <v>4.0</v>
      </c>
      <c r="AA190" s="1">
        <v>4.0</v>
      </c>
      <c r="AB190" s="1">
        <v>4.0</v>
      </c>
      <c r="AC190" s="1">
        <v>4.0</v>
      </c>
      <c r="AD190" s="1">
        <v>4.0</v>
      </c>
      <c r="AE190" s="1">
        <v>4.0</v>
      </c>
      <c r="AF190" s="1">
        <v>4.0</v>
      </c>
      <c r="AG190" s="1">
        <v>4.0</v>
      </c>
      <c r="AH190" s="1">
        <v>4.0</v>
      </c>
      <c r="AI190" s="1">
        <v>4.0</v>
      </c>
      <c r="AJ190" s="1">
        <v>4.0</v>
      </c>
      <c r="AK190" s="1">
        <v>4.0</v>
      </c>
      <c r="AL190" s="1">
        <v>4.0</v>
      </c>
      <c r="AM190" s="1">
        <v>4.0</v>
      </c>
      <c r="AN190" s="1">
        <v>4.0</v>
      </c>
      <c r="AO190" s="1">
        <v>4.0</v>
      </c>
      <c r="AP190" s="1">
        <v>4.0</v>
      </c>
      <c r="AQ190" s="1">
        <v>4.0</v>
      </c>
      <c r="AR190" s="1">
        <v>4.0</v>
      </c>
      <c r="AS190" s="1">
        <v>4.0</v>
      </c>
      <c r="AT190" s="1">
        <v>5.0</v>
      </c>
      <c r="AU190" s="1">
        <v>4.0</v>
      </c>
      <c r="AV190" s="1">
        <v>4.0</v>
      </c>
      <c r="AW190" s="1">
        <v>3.0</v>
      </c>
      <c r="AX190" s="1">
        <v>4.0</v>
      </c>
      <c r="AY190" s="1">
        <v>4.0</v>
      </c>
      <c r="AZ190" s="1">
        <v>3.0</v>
      </c>
      <c r="BA190" s="1">
        <v>4.0</v>
      </c>
      <c r="BB190" s="1">
        <v>5.0</v>
      </c>
      <c r="BC190" s="1">
        <v>4.0</v>
      </c>
      <c r="BD190" s="1">
        <v>3.0</v>
      </c>
      <c r="BE190" s="1">
        <v>4.0</v>
      </c>
      <c r="BF190" s="1">
        <v>5.0</v>
      </c>
      <c r="BG190" s="1">
        <v>4.0</v>
      </c>
      <c r="BH190" s="1">
        <v>3.0</v>
      </c>
      <c r="BI190" s="1">
        <v>4.0</v>
      </c>
      <c r="BJ190" s="1">
        <v>4.0</v>
      </c>
      <c r="BK190" s="1">
        <v>3.0</v>
      </c>
      <c r="BL190" s="1">
        <v>4.0</v>
      </c>
      <c r="BM190" s="1">
        <v>4.0</v>
      </c>
      <c r="BN190" s="1">
        <v>3.0</v>
      </c>
      <c r="BO190" s="1">
        <v>5.0</v>
      </c>
      <c r="BP190" s="1">
        <v>4.0</v>
      </c>
      <c r="BQ190" s="1">
        <v>3.0</v>
      </c>
      <c r="BR190" s="1">
        <v>3.0</v>
      </c>
      <c r="BS190" s="1">
        <v>4.0</v>
      </c>
      <c r="BT190" s="1">
        <v>5.0</v>
      </c>
      <c r="BU190" s="1">
        <v>4.0</v>
      </c>
      <c r="BV190" s="1">
        <v>4.0</v>
      </c>
      <c r="BW190" s="1">
        <v>4.0</v>
      </c>
      <c r="BX190" s="1">
        <v>4.0</v>
      </c>
      <c r="BY190" s="1">
        <v>4.0</v>
      </c>
      <c r="BZ190" s="1">
        <v>4.0</v>
      </c>
    </row>
    <row r="191">
      <c r="A191" s="19">
        <v>46287.40331376158</v>
      </c>
      <c r="B191" s="1" t="s">
        <v>162</v>
      </c>
      <c r="C191" s="1" t="s">
        <v>974</v>
      </c>
      <c r="D191" s="1">
        <v>2025.0</v>
      </c>
      <c r="E191" s="1" t="s">
        <v>975</v>
      </c>
      <c r="F191" s="1" t="s">
        <v>976</v>
      </c>
      <c r="G191" s="1">
        <v>4.0</v>
      </c>
      <c r="H191" s="1">
        <v>4.0</v>
      </c>
      <c r="I191" s="1">
        <v>3.0</v>
      </c>
      <c r="J191" s="1">
        <v>4.0</v>
      </c>
      <c r="K191" s="1">
        <v>4.0</v>
      </c>
      <c r="L191" s="1">
        <v>3.0</v>
      </c>
      <c r="M191" s="1">
        <v>4.0</v>
      </c>
      <c r="N191" s="1">
        <v>4.0</v>
      </c>
      <c r="O191" s="1">
        <v>5.0</v>
      </c>
      <c r="P191" s="1">
        <v>4.0</v>
      </c>
      <c r="Q191" s="1">
        <v>4.0</v>
      </c>
      <c r="R191" s="1">
        <v>4.0</v>
      </c>
      <c r="S191" s="1">
        <v>3.0</v>
      </c>
      <c r="T191" s="1">
        <v>4.0</v>
      </c>
      <c r="U191" s="1">
        <v>3.0</v>
      </c>
      <c r="V191" s="1">
        <v>4.0</v>
      </c>
      <c r="W191" s="1">
        <v>4.0</v>
      </c>
      <c r="X191" s="1">
        <v>3.0</v>
      </c>
      <c r="Y191" s="1">
        <v>4.0</v>
      </c>
      <c r="Z191" s="1">
        <v>4.0</v>
      </c>
      <c r="AA191" s="1">
        <v>4.0</v>
      </c>
      <c r="AB191" s="1">
        <v>4.0</v>
      </c>
      <c r="AC191" s="1">
        <v>4.0</v>
      </c>
      <c r="AD191" s="1">
        <v>4.0</v>
      </c>
      <c r="AE191" s="1">
        <v>3.0</v>
      </c>
      <c r="AF191" s="1">
        <v>4.0</v>
      </c>
      <c r="AG191" s="1">
        <v>4.0</v>
      </c>
      <c r="AH191" s="1">
        <v>4.0</v>
      </c>
      <c r="AI191" s="1">
        <v>4.0</v>
      </c>
      <c r="AJ191" s="1">
        <v>4.0</v>
      </c>
      <c r="AK191" s="1">
        <v>4.0</v>
      </c>
      <c r="AL191" s="1">
        <v>4.0</v>
      </c>
      <c r="AM191" s="1">
        <v>3.0</v>
      </c>
      <c r="AN191" s="1">
        <v>3.0</v>
      </c>
      <c r="AO191" s="1">
        <v>4.0</v>
      </c>
      <c r="AP191" s="1">
        <v>3.0</v>
      </c>
      <c r="AQ191" s="1">
        <v>4.0</v>
      </c>
      <c r="AR191" s="1">
        <v>4.0</v>
      </c>
      <c r="AS191" s="1">
        <v>4.0</v>
      </c>
      <c r="AT191" s="1">
        <v>4.0</v>
      </c>
      <c r="AU191" s="1">
        <v>4.0</v>
      </c>
      <c r="AV191" s="1">
        <v>4.0</v>
      </c>
      <c r="AW191" s="1">
        <v>3.0</v>
      </c>
      <c r="AX191" s="1">
        <v>4.0</v>
      </c>
      <c r="AY191" s="1">
        <v>5.0</v>
      </c>
      <c r="AZ191" s="1">
        <v>4.0</v>
      </c>
      <c r="BA191" s="1">
        <v>4.0</v>
      </c>
      <c r="BB191" s="1">
        <v>4.0</v>
      </c>
      <c r="BC191" s="1">
        <v>4.0</v>
      </c>
      <c r="BD191" s="1">
        <v>4.0</v>
      </c>
      <c r="BE191" s="1">
        <v>3.0</v>
      </c>
      <c r="BF191" s="1">
        <v>4.0</v>
      </c>
      <c r="BG191" s="1">
        <v>4.0</v>
      </c>
      <c r="BH191" s="1">
        <v>4.0</v>
      </c>
      <c r="BI191" s="1">
        <v>3.0</v>
      </c>
      <c r="BJ191" s="1">
        <v>4.0</v>
      </c>
      <c r="BK191" s="1">
        <v>4.0</v>
      </c>
      <c r="BL191" s="1">
        <v>4.0</v>
      </c>
      <c r="BM191" s="1">
        <v>4.0</v>
      </c>
      <c r="BN191" s="1">
        <v>4.0</v>
      </c>
      <c r="BO191" s="1">
        <v>4.0</v>
      </c>
      <c r="BP191" s="1">
        <v>4.0</v>
      </c>
      <c r="BQ191" s="1">
        <v>4.0</v>
      </c>
      <c r="BR191" s="1">
        <v>4.0</v>
      </c>
      <c r="BS191" s="1">
        <v>4.0</v>
      </c>
      <c r="BT191" s="1">
        <v>4.0</v>
      </c>
      <c r="BU191" s="1">
        <v>4.0</v>
      </c>
      <c r="BV191" s="1">
        <v>3.0</v>
      </c>
      <c r="BW191" s="1">
        <v>4.0</v>
      </c>
      <c r="BX191" s="1">
        <v>4.0</v>
      </c>
      <c r="BY191" s="1">
        <v>4.0</v>
      </c>
      <c r="BZ191" s="1">
        <v>4.0</v>
      </c>
    </row>
    <row r="192">
      <c r="A192" s="19">
        <v>46287.403316944445</v>
      </c>
      <c r="B192" s="1" t="s">
        <v>162</v>
      </c>
      <c r="C192" s="1" t="s">
        <v>977</v>
      </c>
      <c r="D192" s="1">
        <v>2025.0</v>
      </c>
      <c r="E192" s="1" t="s">
        <v>173</v>
      </c>
      <c r="F192" s="1" t="s">
        <v>978</v>
      </c>
      <c r="G192" s="1">
        <v>1.0</v>
      </c>
      <c r="H192" s="1">
        <v>2.0</v>
      </c>
      <c r="I192" s="1">
        <v>1.0</v>
      </c>
      <c r="J192" s="1">
        <v>4.0</v>
      </c>
      <c r="K192" s="1">
        <v>4.0</v>
      </c>
      <c r="L192" s="1">
        <v>4.0</v>
      </c>
      <c r="M192" s="1">
        <v>3.0</v>
      </c>
      <c r="N192" s="1">
        <v>3.0</v>
      </c>
      <c r="O192" s="1">
        <v>3.0</v>
      </c>
      <c r="P192" s="1">
        <v>4.0</v>
      </c>
      <c r="Q192" s="1">
        <v>4.0</v>
      </c>
      <c r="R192" s="1">
        <v>4.0</v>
      </c>
      <c r="S192" s="1">
        <v>3.0</v>
      </c>
      <c r="T192" s="1">
        <v>3.0</v>
      </c>
      <c r="U192" s="1">
        <v>1.0</v>
      </c>
      <c r="V192" s="1">
        <v>3.0</v>
      </c>
      <c r="W192" s="1">
        <v>3.0</v>
      </c>
      <c r="X192" s="1">
        <v>3.0</v>
      </c>
      <c r="Y192" s="1">
        <v>2.0</v>
      </c>
      <c r="Z192" s="1">
        <v>2.0</v>
      </c>
      <c r="AA192" s="1">
        <v>2.0</v>
      </c>
      <c r="AB192" s="1">
        <v>3.0</v>
      </c>
      <c r="AC192" s="1">
        <v>4.0</v>
      </c>
      <c r="AD192" s="1">
        <v>4.0</v>
      </c>
      <c r="AE192" s="1">
        <v>1.0</v>
      </c>
      <c r="AF192" s="1">
        <v>3.0</v>
      </c>
      <c r="AG192" s="1">
        <v>2.0</v>
      </c>
      <c r="AH192" s="1">
        <v>4.0</v>
      </c>
      <c r="AI192" s="1">
        <v>4.0</v>
      </c>
      <c r="AJ192" s="1">
        <v>3.0</v>
      </c>
      <c r="AK192" s="1">
        <v>2.0</v>
      </c>
      <c r="AL192" s="1">
        <v>2.0</v>
      </c>
      <c r="AM192" s="1">
        <v>1.0</v>
      </c>
      <c r="AN192" s="1">
        <v>3.0</v>
      </c>
      <c r="AO192" s="1">
        <v>4.0</v>
      </c>
      <c r="AP192" s="1">
        <v>3.0</v>
      </c>
      <c r="AQ192" s="1">
        <v>3.0</v>
      </c>
      <c r="AR192" s="1">
        <v>2.0</v>
      </c>
      <c r="AS192" s="1">
        <v>3.0</v>
      </c>
      <c r="AT192" s="1">
        <v>3.0</v>
      </c>
      <c r="AU192" s="1">
        <v>4.0</v>
      </c>
      <c r="AV192" s="1">
        <v>4.0</v>
      </c>
      <c r="AW192" s="1">
        <v>1.0</v>
      </c>
      <c r="AX192" s="1">
        <v>2.0</v>
      </c>
      <c r="AY192" s="1">
        <v>4.0</v>
      </c>
      <c r="AZ192" s="1">
        <v>4.0</v>
      </c>
      <c r="BA192" s="1">
        <v>4.0</v>
      </c>
      <c r="BB192" s="1">
        <v>4.0</v>
      </c>
      <c r="BC192" s="1">
        <v>3.0</v>
      </c>
      <c r="BD192" s="1">
        <v>3.0</v>
      </c>
      <c r="BE192" s="1">
        <v>1.0</v>
      </c>
      <c r="BF192" s="1">
        <v>4.0</v>
      </c>
      <c r="BG192" s="1">
        <v>3.0</v>
      </c>
      <c r="BH192" s="1">
        <v>3.0</v>
      </c>
      <c r="BI192" s="1">
        <v>2.0</v>
      </c>
      <c r="BJ192" s="1">
        <v>3.0</v>
      </c>
      <c r="BK192" s="1">
        <v>2.0</v>
      </c>
      <c r="BL192" s="1">
        <v>3.0</v>
      </c>
      <c r="BM192" s="1">
        <v>4.0</v>
      </c>
      <c r="BN192" s="1">
        <v>3.0</v>
      </c>
      <c r="BO192" s="1">
        <v>1.0</v>
      </c>
      <c r="BP192" s="1">
        <v>1.0</v>
      </c>
      <c r="BQ192" s="1">
        <v>3.0</v>
      </c>
      <c r="BR192" s="1">
        <v>3.0</v>
      </c>
      <c r="BS192" s="1">
        <v>4.0</v>
      </c>
      <c r="BT192" s="1">
        <v>3.0</v>
      </c>
      <c r="BU192" s="1">
        <v>3.0</v>
      </c>
      <c r="BV192" s="1">
        <v>3.0</v>
      </c>
      <c r="BW192" s="1">
        <v>4.0</v>
      </c>
      <c r="BX192" s="1">
        <v>4.0</v>
      </c>
      <c r="BY192" s="1">
        <v>3.0</v>
      </c>
      <c r="BZ192" s="1">
        <v>4.0</v>
      </c>
    </row>
    <row r="193">
      <c r="A193" s="19">
        <v>46287.40336667824</v>
      </c>
      <c r="B193" s="1" t="s">
        <v>162</v>
      </c>
      <c r="C193" s="1" t="s">
        <v>982</v>
      </c>
      <c r="D193" s="1">
        <v>2025.0</v>
      </c>
      <c r="E193" s="1" t="s">
        <v>173</v>
      </c>
      <c r="F193" s="1" t="s">
        <v>983</v>
      </c>
      <c r="G193" s="1">
        <v>5.0</v>
      </c>
      <c r="H193" s="1">
        <v>5.0</v>
      </c>
      <c r="I193" s="1">
        <v>1.0</v>
      </c>
      <c r="J193" s="1">
        <v>5.0</v>
      </c>
      <c r="K193" s="1">
        <v>5.0</v>
      </c>
      <c r="L193" s="1">
        <v>5.0</v>
      </c>
      <c r="M193" s="1">
        <v>5.0</v>
      </c>
      <c r="N193" s="1">
        <v>5.0</v>
      </c>
      <c r="O193" s="1">
        <v>3.0</v>
      </c>
      <c r="P193" s="1">
        <v>5.0</v>
      </c>
      <c r="Q193" s="1">
        <v>5.0</v>
      </c>
      <c r="R193" s="1">
        <v>5.0</v>
      </c>
      <c r="S193" s="1">
        <v>5.0</v>
      </c>
      <c r="T193" s="1">
        <v>5.0</v>
      </c>
      <c r="U193" s="1">
        <v>1.0</v>
      </c>
      <c r="V193" s="1">
        <v>5.0</v>
      </c>
      <c r="W193" s="1">
        <v>5.0</v>
      </c>
      <c r="X193" s="1">
        <v>5.0</v>
      </c>
      <c r="Y193" s="1">
        <v>3.0</v>
      </c>
      <c r="Z193" s="1">
        <v>5.0</v>
      </c>
      <c r="AA193" s="1">
        <v>5.0</v>
      </c>
      <c r="AB193" s="1">
        <v>5.0</v>
      </c>
      <c r="AC193" s="1">
        <v>5.0</v>
      </c>
      <c r="AD193" s="1">
        <v>5.0</v>
      </c>
      <c r="AE193" s="1">
        <v>3.0</v>
      </c>
      <c r="AF193" s="1">
        <v>5.0</v>
      </c>
      <c r="AG193" s="1">
        <v>5.0</v>
      </c>
      <c r="AH193" s="1">
        <v>5.0</v>
      </c>
      <c r="AI193" s="1">
        <v>5.0</v>
      </c>
      <c r="AJ193" s="1">
        <v>5.0</v>
      </c>
      <c r="AK193" s="1">
        <v>5.0</v>
      </c>
      <c r="AL193" s="1">
        <v>5.0</v>
      </c>
      <c r="AM193" s="1">
        <v>1.0</v>
      </c>
      <c r="AN193" s="1">
        <v>5.0</v>
      </c>
      <c r="AO193" s="1">
        <v>5.0</v>
      </c>
      <c r="AP193" s="1">
        <v>3.0</v>
      </c>
      <c r="AQ193" s="1">
        <v>5.0</v>
      </c>
      <c r="AR193" s="1">
        <v>3.0</v>
      </c>
      <c r="AS193" s="1">
        <v>3.0</v>
      </c>
      <c r="AT193" s="1">
        <v>5.0</v>
      </c>
      <c r="AU193" s="1">
        <v>5.0</v>
      </c>
      <c r="AV193" s="1">
        <v>5.0</v>
      </c>
      <c r="AW193" s="1">
        <v>3.0</v>
      </c>
      <c r="AX193" s="1">
        <v>3.0</v>
      </c>
      <c r="AY193" s="1">
        <v>5.0</v>
      </c>
      <c r="AZ193" s="1">
        <v>5.0</v>
      </c>
      <c r="BA193" s="1">
        <v>5.0</v>
      </c>
      <c r="BB193" s="1">
        <v>5.0</v>
      </c>
      <c r="BC193" s="1">
        <v>5.0</v>
      </c>
      <c r="BD193" s="1">
        <v>5.0</v>
      </c>
      <c r="BE193" s="1">
        <v>1.0</v>
      </c>
      <c r="BF193" s="1">
        <v>5.0</v>
      </c>
      <c r="BG193" s="1">
        <v>5.0</v>
      </c>
      <c r="BH193" s="1">
        <v>5.0</v>
      </c>
      <c r="BI193" s="1">
        <v>4.0</v>
      </c>
      <c r="BJ193" s="1">
        <v>5.0</v>
      </c>
      <c r="BK193" s="1">
        <v>5.0</v>
      </c>
      <c r="BL193" s="1">
        <v>5.0</v>
      </c>
      <c r="BM193" s="1">
        <v>5.0</v>
      </c>
      <c r="BN193" s="1">
        <v>5.0</v>
      </c>
      <c r="BO193" s="1">
        <v>5.0</v>
      </c>
      <c r="BP193" s="1">
        <v>3.0</v>
      </c>
      <c r="BQ193" s="1">
        <v>5.0</v>
      </c>
      <c r="BR193" s="1">
        <v>5.0</v>
      </c>
      <c r="BS193" s="1">
        <v>4.0</v>
      </c>
      <c r="BT193" s="1">
        <v>5.0</v>
      </c>
      <c r="BU193" s="1">
        <v>3.0</v>
      </c>
      <c r="BV193" s="1">
        <v>5.0</v>
      </c>
      <c r="BW193" s="1">
        <v>5.0</v>
      </c>
      <c r="BX193" s="1">
        <v>5.0</v>
      </c>
      <c r="BY193" s="1">
        <v>5.0</v>
      </c>
      <c r="BZ193" s="1">
        <v>5.0</v>
      </c>
    </row>
    <row r="194">
      <c r="A194" s="19">
        <v>46287.403390983796</v>
      </c>
      <c r="B194" s="1" t="s">
        <v>162</v>
      </c>
      <c r="C194" s="1" t="s">
        <v>984</v>
      </c>
      <c r="D194" s="1">
        <v>2026.0</v>
      </c>
      <c r="E194" s="1" t="s">
        <v>356</v>
      </c>
      <c r="F194" s="1" t="s">
        <v>985</v>
      </c>
      <c r="G194" s="1">
        <v>4.0</v>
      </c>
      <c r="H194" s="1">
        <v>4.0</v>
      </c>
      <c r="I194" s="1">
        <v>2.0</v>
      </c>
      <c r="J194" s="1">
        <v>4.0</v>
      </c>
      <c r="K194" s="1">
        <v>3.0</v>
      </c>
      <c r="L194" s="1">
        <v>2.0</v>
      </c>
      <c r="M194" s="1">
        <v>4.0</v>
      </c>
      <c r="N194" s="1">
        <v>4.0</v>
      </c>
      <c r="O194" s="1">
        <v>4.0</v>
      </c>
      <c r="P194" s="1">
        <v>3.0</v>
      </c>
      <c r="Q194" s="1">
        <v>4.0</v>
      </c>
      <c r="R194" s="1">
        <v>3.0</v>
      </c>
      <c r="S194" s="1">
        <v>3.0</v>
      </c>
      <c r="T194" s="1">
        <v>4.0</v>
      </c>
      <c r="U194" s="1">
        <v>2.0</v>
      </c>
      <c r="V194" s="1">
        <v>3.0</v>
      </c>
      <c r="W194" s="1">
        <v>3.0</v>
      </c>
      <c r="X194" s="1">
        <v>2.0</v>
      </c>
      <c r="Y194" s="1">
        <v>4.0</v>
      </c>
      <c r="Z194" s="1">
        <v>4.0</v>
      </c>
      <c r="AA194" s="1">
        <v>2.0</v>
      </c>
      <c r="AB194" s="1">
        <v>4.0</v>
      </c>
      <c r="AC194" s="1">
        <v>4.0</v>
      </c>
      <c r="AD194" s="1">
        <v>2.0</v>
      </c>
      <c r="AE194" s="1">
        <v>4.0</v>
      </c>
      <c r="AF194" s="1">
        <v>4.0</v>
      </c>
      <c r="AG194" s="1">
        <v>3.0</v>
      </c>
      <c r="AH194" s="1">
        <v>4.0</v>
      </c>
      <c r="AI194" s="1">
        <v>4.0</v>
      </c>
      <c r="AJ194" s="1">
        <v>4.0</v>
      </c>
      <c r="AK194" s="1">
        <v>4.0</v>
      </c>
      <c r="AL194" s="1">
        <v>4.0</v>
      </c>
      <c r="AM194" s="1">
        <v>2.0</v>
      </c>
      <c r="AN194" s="1">
        <v>3.0</v>
      </c>
      <c r="AO194" s="1">
        <v>4.0</v>
      </c>
      <c r="AP194" s="1">
        <v>2.0</v>
      </c>
      <c r="AQ194" s="1">
        <v>4.0</v>
      </c>
      <c r="AR194" s="1">
        <v>4.0</v>
      </c>
      <c r="AS194" s="1">
        <v>3.0</v>
      </c>
      <c r="AT194" s="1">
        <v>3.0</v>
      </c>
      <c r="AU194" s="1">
        <v>4.0</v>
      </c>
      <c r="AV194" s="1">
        <v>3.0</v>
      </c>
      <c r="AW194" s="1">
        <v>4.0</v>
      </c>
      <c r="AX194" s="1">
        <v>2.0</v>
      </c>
      <c r="AY194" s="1">
        <v>4.0</v>
      </c>
      <c r="AZ194" s="1">
        <v>4.0</v>
      </c>
      <c r="BA194" s="1">
        <v>3.0</v>
      </c>
      <c r="BB194" s="1">
        <v>4.0</v>
      </c>
      <c r="BC194" s="1">
        <v>4.0</v>
      </c>
      <c r="BD194" s="1">
        <v>4.0</v>
      </c>
      <c r="BE194" s="1">
        <v>2.0</v>
      </c>
      <c r="BF194" s="1">
        <v>4.0</v>
      </c>
      <c r="BG194" s="1">
        <v>4.0</v>
      </c>
      <c r="BH194" s="1">
        <v>2.0</v>
      </c>
      <c r="BI194" s="1">
        <v>4.0</v>
      </c>
      <c r="BJ194" s="1">
        <v>4.0</v>
      </c>
      <c r="BK194" s="1">
        <v>4.0</v>
      </c>
      <c r="BL194" s="1">
        <v>4.0</v>
      </c>
      <c r="BM194" s="1">
        <v>4.0</v>
      </c>
      <c r="BN194" s="1">
        <v>3.0</v>
      </c>
      <c r="BO194" s="1">
        <v>4.0</v>
      </c>
      <c r="BP194" s="1">
        <v>4.0</v>
      </c>
      <c r="BQ194" s="1">
        <v>3.0</v>
      </c>
      <c r="BR194" s="1">
        <v>4.0</v>
      </c>
      <c r="BS194" s="1">
        <v>4.0</v>
      </c>
      <c r="BT194" s="1">
        <v>4.0</v>
      </c>
      <c r="BU194" s="1">
        <v>4.0</v>
      </c>
      <c r="BV194" s="1">
        <v>4.0</v>
      </c>
      <c r="BW194" s="1">
        <v>4.0</v>
      </c>
      <c r="BX194" s="1">
        <v>3.0</v>
      </c>
      <c r="BY194" s="1">
        <v>4.0</v>
      </c>
      <c r="BZ194" s="1">
        <v>4.0</v>
      </c>
    </row>
    <row r="195">
      <c r="A195" s="19">
        <v>46287.40350429398</v>
      </c>
      <c r="B195" s="1" t="s">
        <v>162</v>
      </c>
      <c r="C195" s="1" t="s">
        <v>986</v>
      </c>
      <c r="D195" s="1">
        <v>2025.0</v>
      </c>
      <c r="E195" s="1" t="s">
        <v>213</v>
      </c>
      <c r="F195" s="1" t="s">
        <v>987</v>
      </c>
      <c r="G195" s="1">
        <v>1.0</v>
      </c>
      <c r="H195" s="1">
        <v>2.0</v>
      </c>
      <c r="I195" s="1">
        <v>4.0</v>
      </c>
      <c r="J195" s="1">
        <v>4.0</v>
      </c>
      <c r="K195" s="1">
        <v>4.0</v>
      </c>
      <c r="L195" s="1">
        <v>4.0</v>
      </c>
      <c r="M195" s="1">
        <v>1.0</v>
      </c>
      <c r="N195" s="1">
        <v>2.0</v>
      </c>
      <c r="O195" s="1">
        <v>3.0</v>
      </c>
      <c r="P195" s="1">
        <v>4.0</v>
      </c>
      <c r="Q195" s="1">
        <v>3.0</v>
      </c>
      <c r="R195" s="1">
        <v>4.0</v>
      </c>
      <c r="S195" s="1">
        <v>3.0</v>
      </c>
      <c r="T195" s="1">
        <v>4.0</v>
      </c>
      <c r="U195" s="1">
        <v>3.0</v>
      </c>
      <c r="V195" s="1">
        <v>4.0</v>
      </c>
      <c r="W195" s="1">
        <v>4.0</v>
      </c>
      <c r="X195" s="1">
        <v>1.0</v>
      </c>
      <c r="Y195" s="1">
        <v>1.0</v>
      </c>
      <c r="Z195" s="1">
        <v>1.0</v>
      </c>
      <c r="AA195" s="1">
        <v>4.0</v>
      </c>
      <c r="AB195" s="1">
        <v>4.0</v>
      </c>
      <c r="AC195" s="1">
        <v>4.0</v>
      </c>
      <c r="AD195" s="1">
        <v>3.0</v>
      </c>
      <c r="AE195" s="1">
        <v>1.0</v>
      </c>
      <c r="AF195" s="1">
        <v>2.0</v>
      </c>
      <c r="AG195" s="1">
        <v>4.0</v>
      </c>
      <c r="AH195" s="1">
        <v>4.0</v>
      </c>
      <c r="AI195" s="1">
        <v>4.0</v>
      </c>
      <c r="AJ195" s="1">
        <v>4.0</v>
      </c>
      <c r="AK195" s="1">
        <v>1.0</v>
      </c>
      <c r="AL195" s="1">
        <v>2.0</v>
      </c>
      <c r="AM195" s="1">
        <v>4.0</v>
      </c>
      <c r="AN195" s="1">
        <v>4.0</v>
      </c>
      <c r="AO195" s="1">
        <v>4.0</v>
      </c>
      <c r="AP195" s="1">
        <v>3.0</v>
      </c>
      <c r="AQ195" s="1">
        <v>3.0</v>
      </c>
      <c r="AR195" s="1">
        <v>1.0</v>
      </c>
      <c r="AS195" s="1">
        <v>3.0</v>
      </c>
      <c r="AT195" s="1">
        <v>4.0</v>
      </c>
      <c r="AU195" s="1">
        <v>3.0</v>
      </c>
      <c r="AV195" s="1">
        <v>3.0</v>
      </c>
      <c r="AW195" s="1">
        <v>1.0</v>
      </c>
      <c r="AX195" s="1">
        <v>2.0</v>
      </c>
      <c r="AY195" s="1">
        <v>3.0</v>
      </c>
      <c r="AZ195" s="1">
        <v>4.0</v>
      </c>
      <c r="BA195" s="1">
        <v>4.0</v>
      </c>
      <c r="BB195" s="1">
        <v>4.0</v>
      </c>
      <c r="BC195" s="1">
        <v>4.0</v>
      </c>
      <c r="BD195" s="1">
        <v>3.0</v>
      </c>
      <c r="BE195" s="1">
        <v>4.0</v>
      </c>
      <c r="BF195" s="1">
        <v>4.0</v>
      </c>
      <c r="BG195" s="1">
        <v>4.0</v>
      </c>
      <c r="BH195" s="1">
        <v>4.0</v>
      </c>
      <c r="BI195" s="1">
        <v>4.0</v>
      </c>
      <c r="BJ195" s="1">
        <v>3.0</v>
      </c>
      <c r="BK195" s="1">
        <v>3.0</v>
      </c>
      <c r="BL195" s="1">
        <v>4.0</v>
      </c>
      <c r="BM195" s="1">
        <v>4.0</v>
      </c>
      <c r="BN195" s="1">
        <v>4.0</v>
      </c>
      <c r="BO195" s="1">
        <v>4.0</v>
      </c>
      <c r="BP195" s="1">
        <v>4.0</v>
      </c>
      <c r="BQ195" s="1">
        <v>4.0</v>
      </c>
      <c r="BR195" s="1">
        <v>4.0</v>
      </c>
      <c r="BS195" s="1">
        <v>4.0</v>
      </c>
      <c r="BT195" s="1">
        <v>4.0</v>
      </c>
      <c r="BU195" s="1">
        <v>4.0</v>
      </c>
      <c r="BV195" s="1">
        <v>3.0</v>
      </c>
      <c r="BW195" s="1">
        <v>3.0</v>
      </c>
      <c r="BX195" s="1">
        <v>3.0</v>
      </c>
      <c r="BY195" s="1">
        <v>4.0</v>
      </c>
      <c r="BZ195" s="1">
        <v>3.0</v>
      </c>
    </row>
    <row r="196">
      <c r="A196" s="19">
        <v>46287.40353728009</v>
      </c>
      <c r="B196" s="1" t="s">
        <v>162</v>
      </c>
      <c r="C196" s="1" t="s">
        <v>988</v>
      </c>
      <c r="D196" s="1">
        <v>2026.0</v>
      </c>
      <c r="E196" s="1" t="s">
        <v>365</v>
      </c>
      <c r="F196" s="1" t="s">
        <v>989</v>
      </c>
      <c r="G196" s="1">
        <v>3.0</v>
      </c>
      <c r="H196" s="1">
        <v>3.0</v>
      </c>
      <c r="I196" s="1">
        <v>4.0</v>
      </c>
      <c r="J196" s="1">
        <v>4.0</v>
      </c>
      <c r="K196" s="1">
        <v>3.0</v>
      </c>
      <c r="L196" s="1">
        <v>3.0</v>
      </c>
      <c r="M196" s="1">
        <v>3.0</v>
      </c>
      <c r="N196" s="1">
        <v>2.0</v>
      </c>
      <c r="O196" s="1">
        <v>4.0</v>
      </c>
      <c r="P196" s="1">
        <v>4.0</v>
      </c>
      <c r="Q196" s="1">
        <v>3.0</v>
      </c>
      <c r="R196" s="1">
        <v>5.0</v>
      </c>
      <c r="S196" s="1">
        <v>1.0</v>
      </c>
      <c r="T196" s="1">
        <v>5.0</v>
      </c>
      <c r="U196" s="1">
        <v>3.0</v>
      </c>
      <c r="V196" s="1">
        <v>4.0</v>
      </c>
      <c r="W196" s="1">
        <v>3.0</v>
      </c>
      <c r="X196" s="1">
        <v>2.0</v>
      </c>
      <c r="Y196" s="1">
        <v>2.0</v>
      </c>
      <c r="Z196" s="1">
        <v>2.0</v>
      </c>
      <c r="AA196" s="1">
        <v>5.0</v>
      </c>
      <c r="AB196" s="1">
        <v>3.0</v>
      </c>
      <c r="AC196" s="1">
        <v>4.0</v>
      </c>
      <c r="AD196" s="1">
        <v>2.0</v>
      </c>
      <c r="AE196" s="1">
        <v>1.0</v>
      </c>
      <c r="AF196" s="1">
        <v>3.0</v>
      </c>
      <c r="AG196" s="1">
        <v>2.0</v>
      </c>
      <c r="AH196" s="1">
        <v>5.0</v>
      </c>
      <c r="AI196" s="1">
        <v>3.0</v>
      </c>
      <c r="AJ196" s="1">
        <v>5.0</v>
      </c>
      <c r="AK196" s="1">
        <v>3.0</v>
      </c>
      <c r="AL196" s="1">
        <v>3.0</v>
      </c>
      <c r="AM196" s="1">
        <v>4.0</v>
      </c>
      <c r="AN196" s="1">
        <v>4.0</v>
      </c>
      <c r="AO196" s="1">
        <v>5.0</v>
      </c>
      <c r="AP196" s="1">
        <v>1.0</v>
      </c>
      <c r="AQ196" s="1">
        <v>1.0</v>
      </c>
      <c r="AR196" s="1">
        <v>3.0</v>
      </c>
      <c r="AS196" s="1">
        <v>3.0</v>
      </c>
      <c r="AT196" s="1">
        <v>5.0</v>
      </c>
      <c r="AU196" s="1">
        <v>1.0</v>
      </c>
      <c r="AV196" s="1">
        <v>5.0</v>
      </c>
      <c r="AW196" s="1">
        <v>3.0</v>
      </c>
      <c r="AX196" s="1">
        <v>3.0</v>
      </c>
      <c r="AY196" s="1">
        <v>4.0</v>
      </c>
      <c r="AZ196" s="1">
        <v>3.0</v>
      </c>
      <c r="BA196" s="1">
        <v>4.0</v>
      </c>
      <c r="BB196" s="1">
        <v>5.0</v>
      </c>
      <c r="BC196" s="1">
        <v>3.0</v>
      </c>
      <c r="BD196" s="1">
        <v>3.0</v>
      </c>
      <c r="BE196" s="1">
        <v>4.0</v>
      </c>
      <c r="BF196" s="1">
        <v>5.0</v>
      </c>
      <c r="BG196" s="1">
        <v>3.0</v>
      </c>
      <c r="BH196" s="1">
        <v>3.0</v>
      </c>
      <c r="BI196" s="1">
        <v>5.0</v>
      </c>
      <c r="BJ196" s="1">
        <v>3.0</v>
      </c>
      <c r="BK196" s="1">
        <v>3.0</v>
      </c>
      <c r="BL196" s="1">
        <v>3.0</v>
      </c>
      <c r="BM196" s="1">
        <v>3.0</v>
      </c>
      <c r="BN196" s="1">
        <v>3.0</v>
      </c>
      <c r="BO196" s="1">
        <v>5.0</v>
      </c>
      <c r="BP196" s="1">
        <v>3.0</v>
      </c>
      <c r="BQ196" s="1">
        <v>3.0</v>
      </c>
      <c r="BR196" s="1">
        <v>4.0</v>
      </c>
      <c r="BS196" s="1">
        <v>4.0</v>
      </c>
      <c r="BT196" s="1">
        <v>5.0</v>
      </c>
      <c r="BU196" s="1">
        <v>3.0</v>
      </c>
      <c r="BV196" s="1">
        <v>3.0</v>
      </c>
      <c r="BW196" s="1">
        <v>5.0</v>
      </c>
      <c r="BX196" s="1">
        <v>5.0</v>
      </c>
      <c r="BY196" s="1">
        <v>5.0</v>
      </c>
      <c r="BZ196" s="1">
        <v>5.0</v>
      </c>
    </row>
    <row r="197">
      <c r="A197" s="19">
        <v>46287.40362266204</v>
      </c>
      <c r="B197" s="1" t="s">
        <v>162</v>
      </c>
      <c r="C197" s="1" t="s">
        <v>993</v>
      </c>
      <c r="D197" s="1">
        <v>2025.0</v>
      </c>
      <c r="E197" s="1" t="s">
        <v>239</v>
      </c>
      <c r="F197" s="1" t="s">
        <v>994</v>
      </c>
      <c r="G197" s="1">
        <v>3.0</v>
      </c>
      <c r="H197" s="1">
        <v>3.0</v>
      </c>
      <c r="I197" s="1">
        <v>2.0</v>
      </c>
      <c r="J197" s="1">
        <v>5.0</v>
      </c>
      <c r="K197" s="1">
        <v>4.0</v>
      </c>
      <c r="L197" s="1">
        <v>5.0</v>
      </c>
      <c r="M197" s="1">
        <v>4.0</v>
      </c>
      <c r="N197" s="1">
        <v>5.0</v>
      </c>
      <c r="O197" s="1">
        <v>2.0</v>
      </c>
      <c r="P197" s="1">
        <v>4.0</v>
      </c>
      <c r="Q197" s="1">
        <v>3.0</v>
      </c>
      <c r="R197" s="1">
        <v>4.0</v>
      </c>
      <c r="S197" s="1">
        <v>4.0</v>
      </c>
      <c r="T197" s="1">
        <v>4.0</v>
      </c>
      <c r="U197" s="1">
        <v>3.0</v>
      </c>
      <c r="V197" s="1">
        <v>4.0</v>
      </c>
      <c r="W197" s="1">
        <v>3.0</v>
      </c>
      <c r="X197" s="1">
        <v>2.0</v>
      </c>
      <c r="Y197" s="1">
        <v>2.0</v>
      </c>
      <c r="Z197" s="1">
        <v>3.0</v>
      </c>
      <c r="AA197" s="1">
        <v>1.0</v>
      </c>
      <c r="AB197" s="1">
        <v>3.0</v>
      </c>
      <c r="AC197" s="1">
        <v>4.0</v>
      </c>
      <c r="AD197" s="1">
        <v>4.0</v>
      </c>
      <c r="AE197" s="1">
        <v>2.0</v>
      </c>
      <c r="AF197" s="1">
        <v>4.0</v>
      </c>
      <c r="AG197" s="1">
        <v>2.0</v>
      </c>
      <c r="AH197" s="1">
        <v>5.0</v>
      </c>
      <c r="AI197" s="1">
        <v>4.0</v>
      </c>
      <c r="AJ197" s="1">
        <v>4.0</v>
      </c>
      <c r="AK197" s="1">
        <v>3.0</v>
      </c>
      <c r="AL197" s="1">
        <v>5.0</v>
      </c>
      <c r="AM197" s="1">
        <v>2.0</v>
      </c>
      <c r="AN197" s="1">
        <v>4.0</v>
      </c>
      <c r="AO197" s="1">
        <v>4.0</v>
      </c>
      <c r="AP197" s="1">
        <v>3.0</v>
      </c>
      <c r="AQ197" s="1">
        <v>4.0</v>
      </c>
      <c r="AR197" s="1">
        <v>3.0</v>
      </c>
      <c r="AS197" s="1">
        <v>2.0</v>
      </c>
      <c r="AT197" s="1">
        <v>4.0</v>
      </c>
      <c r="AU197" s="1">
        <v>3.0</v>
      </c>
      <c r="AV197" s="1">
        <v>4.0</v>
      </c>
      <c r="AW197" s="1">
        <v>3.0</v>
      </c>
      <c r="AX197" s="1">
        <v>4.0</v>
      </c>
      <c r="AY197" s="1">
        <v>1.0</v>
      </c>
      <c r="AZ197" s="1">
        <v>4.0</v>
      </c>
      <c r="BA197" s="1">
        <v>4.0</v>
      </c>
      <c r="BB197" s="1">
        <v>4.0</v>
      </c>
      <c r="BC197" s="1">
        <v>4.0</v>
      </c>
      <c r="BD197" s="1">
        <v>4.0</v>
      </c>
      <c r="BE197" s="1">
        <v>2.0</v>
      </c>
      <c r="BF197" s="1">
        <v>4.0</v>
      </c>
      <c r="BG197" s="1">
        <v>4.0</v>
      </c>
      <c r="BH197" s="1">
        <v>4.0</v>
      </c>
      <c r="BI197" s="1">
        <v>4.0</v>
      </c>
      <c r="BJ197" s="1">
        <v>3.0</v>
      </c>
      <c r="BK197" s="1">
        <v>1.0</v>
      </c>
      <c r="BL197" s="1">
        <v>3.0</v>
      </c>
      <c r="BM197" s="1">
        <v>5.0</v>
      </c>
      <c r="BN197" s="1">
        <v>5.0</v>
      </c>
      <c r="BO197" s="1">
        <v>4.0</v>
      </c>
      <c r="BP197" s="1">
        <v>3.0</v>
      </c>
      <c r="BQ197" s="1">
        <v>2.0</v>
      </c>
      <c r="BR197" s="1">
        <v>4.0</v>
      </c>
      <c r="BS197" s="1">
        <v>4.0</v>
      </c>
      <c r="BT197" s="1">
        <v>4.0</v>
      </c>
      <c r="BU197" s="1">
        <v>3.0</v>
      </c>
      <c r="BV197" s="1">
        <v>3.0</v>
      </c>
      <c r="BW197" s="1">
        <v>3.0</v>
      </c>
      <c r="BX197" s="1">
        <v>3.0</v>
      </c>
      <c r="BY197" s="1">
        <v>3.0</v>
      </c>
      <c r="BZ197" s="1">
        <v>5.0</v>
      </c>
    </row>
    <row r="198">
      <c r="A198" s="19">
        <v>46287.403657083334</v>
      </c>
      <c r="B198" s="1" t="s">
        <v>162</v>
      </c>
      <c r="C198" s="1" t="s">
        <v>998</v>
      </c>
      <c r="D198" s="1">
        <v>2025.0</v>
      </c>
      <c r="F198" s="1" t="s">
        <v>999</v>
      </c>
      <c r="G198" s="1">
        <v>3.0</v>
      </c>
      <c r="H198" s="1">
        <v>3.0</v>
      </c>
      <c r="I198" s="1">
        <v>1.0</v>
      </c>
      <c r="J198" s="1">
        <v>4.0</v>
      </c>
      <c r="K198" s="1">
        <v>4.0</v>
      </c>
      <c r="L198" s="1">
        <v>4.0</v>
      </c>
      <c r="M198" s="1">
        <v>3.0</v>
      </c>
      <c r="N198" s="1">
        <v>4.0</v>
      </c>
      <c r="O198" s="1">
        <v>4.0</v>
      </c>
      <c r="P198" s="1">
        <v>4.0</v>
      </c>
      <c r="Q198" s="1">
        <v>4.0</v>
      </c>
      <c r="R198" s="1">
        <v>2.0</v>
      </c>
      <c r="S198" s="1">
        <v>3.0</v>
      </c>
      <c r="T198" s="1">
        <v>4.0</v>
      </c>
      <c r="U198" s="1">
        <v>2.0</v>
      </c>
      <c r="V198" s="1">
        <v>4.0</v>
      </c>
      <c r="W198" s="1">
        <v>4.0</v>
      </c>
      <c r="X198" s="1">
        <v>4.0</v>
      </c>
      <c r="Y198" s="1">
        <v>4.0</v>
      </c>
      <c r="Z198" s="1">
        <v>4.0</v>
      </c>
      <c r="AA198" s="1">
        <v>4.0</v>
      </c>
      <c r="AB198" s="1">
        <v>4.0</v>
      </c>
      <c r="AC198" s="1">
        <v>4.0</v>
      </c>
      <c r="AD198" s="1">
        <v>4.0</v>
      </c>
      <c r="AE198" s="1">
        <v>2.0</v>
      </c>
      <c r="AF198" s="1">
        <v>4.0</v>
      </c>
      <c r="AG198" s="1">
        <v>4.0</v>
      </c>
      <c r="AH198" s="1">
        <v>4.0</v>
      </c>
      <c r="AI198" s="1">
        <v>4.0</v>
      </c>
      <c r="AJ198" s="1">
        <v>4.0</v>
      </c>
      <c r="AK198" s="1">
        <v>4.0</v>
      </c>
      <c r="AL198" s="1">
        <v>4.0</v>
      </c>
      <c r="AM198" s="1">
        <v>2.0</v>
      </c>
      <c r="AN198" s="1">
        <v>4.0</v>
      </c>
      <c r="AO198" s="1">
        <v>4.0</v>
      </c>
      <c r="AP198" s="1">
        <v>2.0</v>
      </c>
      <c r="AQ198" s="1">
        <v>2.0</v>
      </c>
      <c r="AR198" s="1">
        <v>4.0</v>
      </c>
      <c r="AS198" s="1">
        <v>4.0</v>
      </c>
      <c r="AT198" s="1">
        <v>4.0</v>
      </c>
      <c r="AU198" s="1">
        <v>4.0</v>
      </c>
      <c r="AV198" s="1">
        <v>4.0</v>
      </c>
      <c r="AW198" s="1">
        <v>4.0</v>
      </c>
      <c r="AX198" s="1">
        <v>4.0</v>
      </c>
      <c r="AY198" s="1">
        <v>4.0</v>
      </c>
      <c r="AZ198" s="1">
        <v>4.0</v>
      </c>
      <c r="BA198" s="1">
        <v>4.0</v>
      </c>
      <c r="BB198" s="1">
        <v>4.0</v>
      </c>
      <c r="BC198" s="1">
        <v>4.0</v>
      </c>
      <c r="BD198" s="1">
        <v>4.0</v>
      </c>
      <c r="BE198" s="1">
        <v>4.0</v>
      </c>
      <c r="BF198" s="1">
        <v>4.0</v>
      </c>
      <c r="BG198" s="1">
        <v>4.0</v>
      </c>
      <c r="BH198" s="1">
        <v>4.0</v>
      </c>
      <c r="BI198" s="1">
        <v>4.0</v>
      </c>
      <c r="BJ198" s="1">
        <v>4.0</v>
      </c>
      <c r="BK198" s="1">
        <v>4.0</v>
      </c>
      <c r="BL198" s="1">
        <v>4.0</v>
      </c>
      <c r="BM198" s="1">
        <v>4.0</v>
      </c>
      <c r="BN198" s="1">
        <v>4.0</v>
      </c>
      <c r="BO198" s="1">
        <v>4.0</v>
      </c>
      <c r="BP198" s="1">
        <v>4.0</v>
      </c>
      <c r="BQ198" s="1">
        <v>4.0</v>
      </c>
      <c r="BR198" s="1">
        <v>4.0</v>
      </c>
      <c r="BS198" s="1">
        <v>4.0</v>
      </c>
      <c r="BT198" s="1">
        <v>4.0</v>
      </c>
      <c r="BU198" s="1">
        <v>4.0</v>
      </c>
      <c r="BV198" s="1">
        <v>4.0</v>
      </c>
      <c r="BW198" s="1">
        <v>4.0</v>
      </c>
      <c r="BX198" s="1">
        <v>4.0</v>
      </c>
      <c r="BY198" s="1">
        <v>4.0</v>
      </c>
      <c r="BZ198" s="1">
        <v>4.0</v>
      </c>
    </row>
    <row r="199">
      <c r="A199" s="19">
        <v>46287.40375520833</v>
      </c>
      <c r="B199" s="1" t="s">
        <v>162</v>
      </c>
      <c r="C199" s="1" t="s">
        <v>1000</v>
      </c>
      <c r="D199" s="1">
        <v>2026.0</v>
      </c>
      <c r="E199" s="1" t="s">
        <v>356</v>
      </c>
      <c r="F199" s="1" t="s">
        <v>1001</v>
      </c>
      <c r="G199" s="1">
        <v>2.0</v>
      </c>
      <c r="H199" s="1">
        <v>2.0</v>
      </c>
      <c r="I199" s="1">
        <v>2.0</v>
      </c>
      <c r="J199" s="1">
        <v>3.0</v>
      </c>
      <c r="K199" s="1">
        <v>3.0</v>
      </c>
      <c r="L199" s="1">
        <v>2.0</v>
      </c>
      <c r="M199" s="1">
        <v>2.0</v>
      </c>
      <c r="N199" s="1">
        <v>2.0</v>
      </c>
      <c r="O199" s="1">
        <v>2.0</v>
      </c>
      <c r="P199" s="1">
        <v>3.0</v>
      </c>
      <c r="Q199" s="1">
        <v>3.0</v>
      </c>
      <c r="R199" s="1">
        <v>3.0</v>
      </c>
      <c r="S199" s="1">
        <v>3.0</v>
      </c>
      <c r="T199" s="1">
        <v>3.0</v>
      </c>
      <c r="U199" s="1">
        <v>1.0</v>
      </c>
      <c r="V199" s="1">
        <v>3.0</v>
      </c>
      <c r="W199" s="1">
        <v>3.0</v>
      </c>
      <c r="X199" s="1">
        <v>2.0</v>
      </c>
      <c r="Y199" s="1">
        <v>2.0</v>
      </c>
      <c r="Z199" s="1">
        <v>2.0</v>
      </c>
      <c r="AA199" s="1">
        <v>3.0</v>
      </c>
      <c r="AB199" s="1">
        <v>3.0</v>
      </c>
      <c r="AC199" s="1">
        <v>3.0</v>
      </c>
      <c r="AD199" s="1">
        <v>2.0</v>
      </c>
      <c r="AE199" s="1">
        <v>2.0</v>
      </c>
      <c r="AF199" s="1">
        <v>2.0</v>
      </c>
      <c r="AG199" s="1">
        <v>2.0</v>
      </c>
      <c r="AH199" s="1">
        <v>3.0</v>
      </c>
      <c r="AI199" s="1">
        <v>3.0</v>
      </c>
      <c r="AJ199" s="1">
        <v>3.0</v>
      </c>
      <c r="AK199" s="1">
        <v>3.0</v>
      </c>
      <c r="AL199" s="1">
        <v>2.0</v>
      </c>
      <c r="AM199" s="1">
        <v>2.0</v>
      </c>
      <c r="AN199" s="1">
        <v>3.0</v>
      </c>
      <c r="AO199" s="1">
        <v>3.0</v>
      </c>
      <c r="AP199" s="1">
        <v>2.0</v>
      </c>
      <c r="AQ199" s="1">
        <v>3.0</v>
      </c>
      <c r="AR199" s="1">
        <v>2.0</v>
      </c>
      <c r="AS199" s="1">
        <v>3.0</v>
      </c>
      <c r="AT199" s="1">
        <v>3.0</v>
      </c>
      <c r="AU199" s="1">
        <v>3.0</v>
      </c>
      <c r="AV199" s="1">
        <v>2.0</v>
      </c>
      <c r="AW199" s="1">
        <v>2.0</v>
      </c>
      <c r="AX199" s="1">
        <v>2.0</v>
      </c>
      <c r="AY199" s="1">
        <v>2.0</v>
      </c>
      <c r="AZ199" s="1">
        <v>3.0</v>
      </c>
      <c r="BA199" s="1">
        <v>3.0</v>
      </c>
      <c r="BB199" s="1">
        <v>3.0</v>
      </c>
      <c r="BC199" s="1">
        <v>3.0</v>
      </c>
      <c r="BD199" s="1">
        <v>3.0</v>
      </c>
      <c r="BE199" s="1">
        <v>2.0</v>
      </c>
      <c r="BF199" s="1">
        <v>3.0</v>
      </c>
      <c r="BG199" s="1">
        <v>3.0</v>
      </c>
      <c r="BH199" s="1">
        <v>2.0</v>
      </c>
      <c r="BI199" s="1">
        <v>2.0</v>
      </c>
      <c r="BJ199" s="1">
        <v>2.0</v>
      </c>
      <c r="BK199" s="1">
        <v>2.0</v>
      </c>
      <c r="BL199" s="1">
        <v>3.0</v>
      </c>
      <c r="BM199" s="1">
        <v>3.0</v>
      </c>
      <c r="BN199" s="1">
        <v>2.0</v>
      </c>
      <c r="BO199" s="1">
        <v>2.0</v>
      </c>
      <c r="BP199" s="1">
        <v>2.0</v>
      </c>
      <c r="BQ199" s="1">
        <v>2.0</v>
      </c>
      <c r="BR199" s="1">
        <v>3.0</v>
      </c>
      <c r="BS199" s="1">
        <v>3.0</v>
      </c>
      <c r="BT199" s="1">
        <v>3.0</v>
      </c>
      <c r="BU199" s="1">
        <v>2.0</v>
      </c>
      <c r="BV199" s="1">
        <v>2.0</v>
      </c>
      <c r="BW199" s="1">
        <v>2.0</v>
      </c>
      <c r="BX199" s="1">
        <v>3.0</v>
      </c>
      <c r="BY199" s="1">
        <v>3.0</v>
      </c>
      <c r="BZ199" s="1">
        <v>2.0</v>
      </c>
    </row>
    <row r="200">
      <c r="A200" s="19">
        <v>46287.40381550926</v>
      </c>
      <c r="B200" s="1" t="s">
        <v>162</v>
      </c>
      <c r="C200" s="1" t="s">
        <v>1002</v>
      </c>
      <c r="D200" s="1">
        <v>2025.0</v>
      </c>
      <c r="E200" s="1" t="s">
        <v>356</v>
      </c>
      <c r="F200" s="1" t="s">
        <v>1003</v>
      </c>
      <c r="G200" s="1">
        <v>4.0</v>
      </c>
      <c r="H200" s="1">
        <v>3.0</v>
      </c>
      <c r="I200" s="1">
        <v>2.0</v>
      </c>
      <c r="J200" s="1">
        <v>3.0</v>
      </c>
      <c r="K200" s="1">
        <v>3.0</v>
      </c>
      <c r="L200" s="1">
        <v>4.0</v>
      </c>
      <c r="M200" s="1">
        <v>4.0</v>
      </c>
      <c r="N200" s="1">
        <v>3.0</v>
      </c>
      <c r="O200" s="1">
        <v>3.0</v>
      </c>
      <c r="P200" s="1">
        <v>3.0</v>
      </c>
      <c r="Q200" s="1">
        <v>3.0</v>
      </c>
      <c r="R200" s="1">
        <v>4.0</v>
      </c>
      <c r="S200" s="1">
        <v>3.0</v>
      </c>
      <c r="T200" s="1">
        <v>3.0</v>
      </c>
      <c r="U200" s="1">
        <v>2.0</v>
      </c>
      <c r="V200" s="1">
        <v>4.0</v>
      </c>
      <c r="W200" s="1">
        <v>3.0</v>
      </c>
      <c r="X200" s="1">
        <v>3.0</v>
      </c>
      <c r="Y200" s="1">
        <v>3.0</v>
      </c>
      <c r="Z200" s="1">
        <v>3.0</v>
      </c>
      <c r="AA200" s="1">
        <v>3.0</v>
      </c>
      <c r="AB200" s="1">
        <v>4.0</v>
      </c>
      <c r="AC200" s="1">
        <v>4.0</v>
      </c>
      <c r="AD200" s="1">
        <v>4.0</v>
      </c>
      <c r="AE200" s="1">
        <v>3.0</v>
      </c>
      <c r="AF200" s="1">
        <v>3.0</v>
      </c>
      <c r="AG200" s="1">
        <v>3.0</v>
      </c>
      <c r="AH200" s="1">
        <v>4.0</v>
      </c>
      <c r="AI200" s="1">
        <v>3.0</v>
      </c>
      <c r="AJ200" s="1">
        <v>3.0</v>
      </c>
      <c r="AK200" s="1">
        <v>4.0</v>
      </c>
      <c r="AL200" s="1">
        <v>3.0</v>
      </c>
      <c r="AM200" s="1">
        <v>3.0</v>
      </c>
      <c r="AN200" s="1">
        <v>4.0</v>
      </c>
      <c r="AO200" s="1">
        <v>3.0</v>
      </c>
      <c r="AP200" s="1">
        <v>3.0</v>
      </c>
      <c r="AQ200" s="1">
        <v>2.0</v>
      </c>
      <c r="AR200" s="1">
        <v>3.0</v>
      </c>
      <c r="AS200" s="1">
        <v>4.0</v>
      </c>
      <c r="AT200" s="1">
        <v>3.0</v>
      </c>
      <c r="AU200" s="1">
        <v>3.0</v>
      </c>
      <c r="AV200" s="1">
        <v>3.0</v>
      </c>
      <c r="AW200" s="1">
        <v>3.0</v>
      </c>
      <c r="AX200" s="1">
        <v>3.0</v>
      </c>
      <c r="AY200" s="1">
        <v>3.0</v>
      </c>
      <c r="AZ200" s="1">
        <v>3.0</v>
      </c>
      <c r="BA200" s="1">
        <v>4.0</v>
      </c>
      <c r="BB200" s="1">
        <v>4.0</v>
      </c>
      <c r="BC200" s="1">
        <v>3.0</v>
      </c>
      <c r="BD200" s="1">
        <v>3.0</v>
      </c>
      <c r="BE200" s="1">
        <v>3.0</v>
      </c>
      <c r="BF200" s="1">
        <v>4.0</v>
      </c>
      <c r="BG200" s="1">
        <v>3.0</v>
      </c>
      <c r="BH200" s="1">
        <v>3.0</v>
      </c>
      <c r="BI200" s="1">
        <v>3.0</v>
      </c>
      <c r="BJ200" s="1">
        <v>3.0</v>
      </c>
      <c r="BK200" s="1">
        <v>3.0</v>
      </c>
      <c r="BL200" s="1">
        <v>3.0</v>
      </c>
      <c r="BM200" s="1">
        <v>3.0</v>
      </c>
      <c r="BN200" s="1">
        <v>3.0</v>
      </c>
      <c r="BO200" s="1">
        <v>3.0</v>
      </c>
      <c r="BP200" s="1">
        <v>3.0</v>
      </c>
      <c r="BQ200" s="1">
        <v>3.0</v>
      </c>
      <c r="BR200" s="1">
        <v>3.0</v>
      </c>
      <c r="BS200" s="1">
        <v>3.0</v>
      </c>
      <c r="BT200" s="1">
        <v>3.0</v>
      </c>
      <c r="BU200" s="1">
        <v>3.0</v>
      </c>
      <c r="BV200" s="1">
        <v>3.0</v>
      </c>
      <c r="BW200" s="1">
        <v>3.0</v>
      </c>
      <c r="BX200" s="1">
        <v>3.0</v>
      </c>
      <c r="BY200" s="1">
        <v>3.0</v>
      </c>
      <c r="BZ200" s="1">
        <v>3.0</v>
      </c>
    </row>
    <row r="201">
      <c r="A201" s="19">
        <v>46287.40382527778</v>
      </c>
      <c r="B201" s="1" t="s">
        <v>162</v>
      </c>
      <c r="C201" s="1" t="s">
        <v>1007</v>
      </c>
      <c r="D201" s="1">
        <v>2025.0</v>
      </c>
      <c r="E201" s="1" t="s">
        <v>173</v>
      </c>
      <c r="F201" s="1" t="s">
        <v>1008</v>
      </c>
      <c r="G201" s="1">
        <v>5.0</v>
      </c>
      <c r="H201" s="1">
        <v>5.0</v>
      </c>
      <c r="I201" s="1">
        <v>5.0</v>
      </c>
      <c r="J201" s="1">
        <v>5.0</v>
      </c>
      <c r="K201" s="1">
        <v>3.0</v>
      </c>
      <c r="L201" s="1">
        <v>4.0</v>
      </c>
      <c r="M201" s="1">
        <v>5.0</v>
      </c>
      <c r="N201" s="1">
        <v>4.0</v>
      </c>
      <c r="O201" s="1">
        <v>5.0</v>
      </c>
      <c r="P201" s="1">
        <v>3.0</v>
      </c>
      <c r="Q201" s="1">
        <v>3.0</v>
      </c>
      <c r="R201" s="1">
        <v>4.0</v>
      </c>
      <c r="S201" s="1">
        <v>3.0</v>
      </c>
      <c r="T201" s="1">
        <v>4.0</v>
      </c>
      <c r="U201" s="1">
        <v>5.0</v>
      </c>
      <c r="V201" s="1">
        <v>3.0</v>
      </c>
      <c r="W201" s="1">
        <v>3.0</v>
      </c>
      <c r="X201" s="1">
        <v>3.0</v>
      </c>
      <c r="Y201" s="1">
        <v>4.0</v>
      </c>
      <c r="Z201" s="1">
        <v>4.0</v>
      </c>
      <c r="AA201" s="1">
        <v>4.0</v>
      </c>
      <c r="AB201" s="1">
        <v>5.0</v>
      </c>
      <c r="AC201" s="1">
        <v>4.0</v>
      </c>
      <c r="AD201" s="1">
        <v>4.0</v>
      </c>
      <c r="AE201" s="1">
        <v>4.0</v>
      </c>
      <c r="AF201" s="1">
        <v>4.0</v>
      </c>
      <c r="AG201" s="1">
        <v>4.0</v>
      </c>
      <c r="AH201" s="1">
        <v>4.0</v>
      </c>
      <c r="AI201" s="1">
        <v>4.0</v>
      </c>
      <c r="AJ201" s="1">
        <v>3.0</v>
      </c>
      <c r="AK201" s="1">
        <v>3.0</v>
      </c>
      <c r="AL201" s="1">
        <v>4.0</v>
      </c>
      <c r="AM201" s="1">
        <v>4.0</v>
      </c>
      <c r="AN201" s="1">
        <v>4.0</v>
      </c>
      <c r="AO201" s="1">
        <v>4.0</v>
      </c>
      <c r="AP201" s="1">
        <v>3.0</v>
      </c>
      <c r="AQ201" s="1">
        <v>3.0</v>
      </c>
      <c r="AR201" s="1">
        <v>3.0</v>
      </c>
      <c r="AS201" s="1">
        <v>3.0</v>
      </c>
      <c r="AT201" s="1">
        <v>3.0</v>
      </c>
      <c r="AU201" s="1">
        <v>4.0</v>
      </c>
      <c r="AV201" s="1">
        <v>2.0</v>
      </c>
      <c r="AW201" s="1">
        <v>4.0</v>
      </c>
      <c r="AX201" s="1">
        <v>3.0</v>
      </c>
      <c r="AY201" s="1">
        <v>4.0</v>
      </c>
      <c r="AZ201" s="1">
        <v>4.0</v>
      </c>
      <c r="BA201" s="1">
        <v>4.0</v>
      </c>
      <c r="BB201" s="1">
        <v>4.0</v>
      </c>
      <c r="BC201" s="1">
        <v>4.0</v>
      </c>
      <c r="BD201" s="1">
        <v>4.0</v>
      </c>
      <c r="BE201" s="1">
        <v>4.0</v>
      </c>
      <c r="BF201" s="1">
        <v>4.0</v>
      </c>
      <c r="BG201" s="1">
        <v>4.0</v>
      </c>
      <c r="BH201" s="1">
        <v>4.0</v>
      </c>
      <c r="BI201" s="1">
        <v>3.0</v>
      </c>
      <c r="BJ201" s="1">
        <v>4.0</v>
      </c>
      <c r="BK201" s="1">
        <v>4.0</v>
      </c>
      <c r="BL201" s="1">
        <v>3.0</v>
      </c>
      <c r="BM201" s="1">
        <v>3.0</v>
      </c>
      <c r="BN201" s="1">
        <v>4.0</v>
      </c>
      <c r="BO201" s="1">
        <v>4.0</v>
      </c>
      <c r="BP201" s="1">
        <v>4.0</v>
      </c>
      <c r="BQ201" s="1">
        <v>5.0</v>
      </c>
      <c r="BR201" s="1">
        <v>5.0</v>
      </c>
      <c r="BS201" s="1">
        <v>4.0</v>
      </c>
      <c r="BT201" s="1">
        <v>4.0</v>
      </c>
      <c r="BU201" s="1">
        <v>5.0</v>
      </c>
      <c r="BV201" s="1">
        <v>4.0</v>
      </c>
      <c r="BW201" s="1">
        <v>4.0</v>
      </c>
      <c r="BX201" s="1">
        <v>3.0</v>
      </c>
      <c r="BY201" s="1">
        <v>4.0</v>
      </c>
      <c r="BZ201" s="1">
        <v>4.0</v>
      </c>
    </row>
    <row r="202">
      <c r="A202" s="19">
        <v>46287.40398908565</v>
      </c>
      <c r="B202" s="1" t="s">
        <v>162</v>
      </c>
      <c r="C202" s="1" t="s">
        <v>1009</v>
      </c>
      <c r="D202" s="1">
        <v>2025.0</v>
      </c>
      <c r="E202" s="1" t="s">
        <v>321</v>
      </c>
      <c r="F202" s="1" t="s">
        <v>1010</v>
      </c>
      <c r="G202" s="1">
        <v>4.0</v>
      </c>
      <c r="H202" s="1">
        <v>1.0</v>
      </c>
      <c r="I202" s="1">
        <v>1.0</v>
      </c>
      <c r="J202" s="1">
        <v>5.0</v>
      </c>
      <c r="K202" s="1">
        <v>5.0</v>
      </c>
      <c r="L202" s="1">
        <v>4.0</v>
      </c>
      <c r="M202" s="1">
        <v>2.0</v>
      </c>
      <c r="N202" s="1">
        <v>4.0</v>
      </c>
      <c r="O202" s="1">
        <v>5.0</v>
      </c>
      <c r="P202" s="1">
        <v>4.0</v>
      </c>
      <c r="Q202" s="1">
        <v>4.0</v>
      </c>
      <c r="R202" s="1">
        <v>5.0</v>
      </c>
      <c r="S202" s="1">
        <v>4.0</v>
      </c>
      <c r="T202" s="1">
        <v>5.0</v>
      </c>
      <c r="U202" s="1">
        <v>2.0</v>
      </c>
      <c r="V202" s="1">
        <v>4.0</v>
      </c>
      <c r="W202" s="1">
        <v>4.0</v>
      </c>
      <c r="X202" s="1">
        <v>4.0</v>
      </c>
      <c r="Y202" s="1">
        <v>4.0</v>
      </c>
      <c r="Z202" s="1">
        <v>5.0</v>
      </c>
      <c r="AA202" s="1">
        <v>4.0</v>
      </c>
      <c r="AB202" s="1">
        <v>4.0</v>
      </c>
      <c r="AC202" s="1">
        <v>4.0</v>
      </c>
      <c r="AD202" s="1">
        <v>4.0</v>
      </c>
      <c r="AE202" s="1">
        <v>2.0</v>
      </c>
      <c r="AF202" s="1">
        <v>4.0</v>
      </c>
      <c r="AG202" s="1">
        <v>4.0</v>
      </c>
      <c r="AH202" s="1">
        <v>4.0</v>
      </c>
      <c r="AI202" s="1">
        <v>4.0</v>
      </c>
      <c r="AJ202" s="1">
        <v>4.0</v>
      </c>
      <c r="AK202" s="1">
        <v>4.0</v>
      </c>
      <c r="AL202" s="1">
        <v>4.0</v>
      </c>
      <c r="AM202" s="1">
        <v>4.0</v>
      </c>
      <c r="AN202" s="1">
        <v>4.0</v>
      </c>
      <c r="AO202" s="1">
        <v>4.0</v>
      </c>
      <c r="AP202" s="1">
        <v>4.0</v>
      </c>
      <c r="AQ202" s="1">
        <v>4.0</v>
      </c>
      <c r="AR202" s="1">
        <v>4.0</v>
      </c>
      <c r="AS202" s="1">
        <v>2.0</v>
      </c>
      <c r="AT202" s="1">
        <v>4.0</v>
      </c>
      <c r="AU202" s="1">
        <v>4.0</v>
      </c>
      <c r="AV202" s="1">
        <v>4.0</v>
      </c>
      <c r="AW202" s="1">
        <v>3.0</v>
      </c>
      <c r="AX202" s="1">
        <v>4.0</v>
      </c>
      <c r="AY202" s="1">
        <v>5.0</v>
      </c>
      <c r="AZ202" s="1">
        <v>4.0</v>
      </c>
      <c r="BA202" s="1">
        <v>3.0</v>
      </c>
      <c r="BB202" s="1">
        <v>5.0</v>
      </c>
      <c r="BC202" s="1">
        <v>4.0</v>
      </c>
      <c r="BD202" s="1">
        <v>4.0</v>
      </c>
      <c r="BE202" s="1">
        <v>2.0</v>
      </c>
      <c r="BF202" s="1">
        <v>5.0</v>
      </c>
      <c r="BG202" s="1">
        <v>5.0</v>
      </c>
      <c r="BH202" s="1">
        <v>5.0</v>
      </c>
      <c r="BI202" s="1">
        <v>5.0</v>
      </c>
      <c r="BJ202" s="1">
        <v>5.0</v>
      </c>
      <c r="BK202" s="1">
        <v>4.0</v>
      </c>
      <c r="BL202" s="1">
        <v>4.0</v>
      </c>
      <c r="BM202" s="1">
        <v>4.0</v>
      </c>
      <c r="BN202" s="1">
        <v>4.0</v>
      </c>
      <c r="BO202" s="1">
        <v>3.0</v>
      </c>
      <c r="BP202" s="1">
        <v>4.0</v>
      </c>
      <c r="BQ202" s="1">
        <v>4.0</v>
      </c>
      <c r="BR202" s="1">
        <v>4.0</v>
      </c>
      <c r="BS202" s="1">
        <v>4.0</v>
      </c>
      <c r="BT202" s="1">
        <v>4.0</v>
      </c>
      <c r="BU202" s="1">
        <v>4.0</v>
      </c>
      <c r="BV202" s="1">
        <v>4.0</v>
      </c>
      <c r="BW202" s="1">
        <v>4.0</v>
      </c>
      <c r="BX202" s="1">
        <v>5.0</v>
      </c>
      <c r="BY202" s="1">
        <v>5.0</v>
      </c>
      <c r="BZ202" s="1">
        <v>5.0</v>
      </c>
    </row>
    <row r="203">
      <c r="A203" s="19">
        <v>46287.40400525463</v>
      </c>
      <c r="B203" s="1" t="s">
        <v>162</v>
      </c>
      <c r="C203" s="1" t="s">
        <v>1014</v>
      </c>
      <c r="D203" s="1">
        <v>2025.0</v>
      </c>
      <c r="E203" s="1" t="s">
        <v>296</v>
      </c>
      <c r="F203" s="1" t="s">
        <v>1015</v>
      </c>
      <c r="G203" s="1">
        <v>5.0</v>
      </c>
      <c r="H203" s="1">
        <v>4.0</v>
      </c>
      <c r="I203" s="1">
        <v>4.0</v>
      </c>
      <c r="J203" s="1">
        <v>5.0</v>
      </c>
      <c r="K203" s="1">
        <v>4.0</v>
      </c>
      <c r="L203" s="1">
        <v>4.0</v>
      </c>
      <c r="M203" s="1">
        <v>5.0</v>
      </c>
      <c r="N203" s="1">
        <v>2.0</v>
      </c>
      <c r="O203" s="1">
        <v>2.0</v>
      </c>
      <c r="P203" s="1">
        <v>4.0</v>
      </c>
      <c r="Q203" s="1">
        <v>3.0</v>
      </c>
      <c r="R203" s="1">
        <v>5.0</v>
      </c>
      <c r="S203" s="1">
        <v>5.0</v>
      </c>
      <c r="T203" s="1">
        <v>4.0</v>
      </c>
      <c r="U203" s="1">
        <v>4.0</v>
      </c>
      <c r="V203" s="1">
        <v>5.0</v>
      </c>
      <c r="W203" s="1">
        <v>4.0</v>
      </c>
      <c r="X203" s="1">
        <v>4.0</v>
      </c>
      <c r="Y203" s="1">
        <v>5.0</v>
      </c>
      <c r="Z203" s="1">
        <v>4.0</v>
      </c>
      <c r="AA203" s="1">
        <v>4.0</v>
      </c>
      <c r="AB203" s="1">
        <v>5.0</v>
      </c>
      <c r="AC203" s="1">
        <v>3.0</v>
      </c>
      <c r="AD203" s="1">
        <v>4.0</v>
      </c>
      <c r="AE203" s="1">
        <v>2.0</v>
      </c>
      <c r="AF203" s="1">
        <v>4.0</v>
      </c>
      <c r="AG203" s="1">
        <v>4.0</v>
      </c>
      <c r="AH203" s="1">
        <v>5.0</v>
      </c>
      <c r="AI203" s="1">
        <v>5.0</v>
      </c>
      <c r="AJ203" s="1">
        <v>5.0</v>
      </c>
      <c r="AK203" s="1">
        <v>5.0</v>
      </c>
      <c r="AL203" s="1">
        <v>4.0</v>
      </c>
      <c r="AM203" s="1">
        <v>4.0</v>
      </c>
      <c r="AN203" s="1">
        <v>5.0</v>
      </c>
      <c r="AO203" s="1">
        <v>4.0</v>
      </c>
      <c r="AP203" s="1">
        <v>3.0</v>
      </c>
      <c r="AQ203" s="1">
        <v>5.0</v>
      </c>
      <c r="AR203" s="1">
        <v>5.0</v>
      </c>
      <c r="AS203" s="1">
        <v>5.0</v>
      </c>
      <c r="AT203" s="1">
        <v>5.0</v>
      </c>
      <c r="AU203" s="1">
        <v>3.0</v>
      </c>
      <c r="AV203" s="1">
        <v>5.0</v>
      </c>
      <c r="AW203" s="1">
        <v>4.0</v>
      </c>
      <c r="AX203" s="1">
        <v>4.0</v>
      </c>
      <c r="AY203" s="1">
        <v>2.0</v>
      </c>
      <c r="AZ203" s="1">
        <v>3.0</v>
      </c>
      <c r="BA203" s="1">
        <v>5.0</v>
      </c>
      <c r="BB203" s="1">
        <v>5.0</v>
      </c>
      <c r="BC203" s="1">
        <v>5.0</v>
      </c>
      <c r="BD203" s="1">
        <v>4.0</v>
      </c>
      <c r="BE203" s="1">
        <v>1.0</v>
      </c>
      <c r="BF203" s="1">
        <v>4.0</v>
      </c>
      <c r="BG203" s="1">
        <v>4.0</v>
      </c>
      <c r="BH203" s="1">
        <v>5.0</v>
      </c>
      <c r="BI203" s="1">
        <v>5.0</v>
      </c>
      <c r="BJ203" s="1">
        <v>3.0</v>
      </c>
      <c r="BK203" s="1">
        <v>2.0</v>
      </c>
      <c r="BL203" s="1">
        <v>5.0</v>
      </c>
      <c r="BM203" s="1">
        <v>5.0</v>
      </c>
      <c r="BN203" s="1">
        <v>5.0</v>
      </c>
      <c r="BO203" s="1">
        <v>5.0</v>
      </c>
      <c r="BP203" s="1">
        <v>5.0</v>
      </c>
      <c r="BQ203" s="1">
        <v>4.0</v>
      </c>
      <c r="BR203" s="1">
        <v>5.0</v>
      </c>
      <c r="BS203" s="1">
        <v>5.0</v>
      </c>
      <c r="BT203" s="1">
        <v>5.0</v>
      </c>
      <c r="BU203" s="1">
        <v>4.0</v>
      </c>
      <c r="BV203" s="1">
        <v>5.0</v>
      </c>
      <c r="BW203" s="1">
        <v>2.0</v>
      </c>
      <c r="BX203" s="1">
        <v>5.0</v>
      </c>
      <c r="BY203" s="1">
        <v>4.0</v>
      </c>
      <c r="BZ203" s="1">
        <v>5.0</v>
      </c>
    </row>
    <row r="204">
      <c r="A204" s="19">
        <v>46287.40408984954</v>
      </c>
      <c r="B204" s="1" t="s">
        <v>162</v>
      </c>
      <c r="C204" s="1" t="s">
        <v>1016</v>
      </c>
      <c r="D204" s="1">
        <v>2026.0</v>
      </c>
      <c r="E204" s="1" t="s">
        <v>239</v>
      </c>
      <c r="F204" s="1" t="s">
        <v>1017</v>
      </c>
      <c r="G204" s="1">
        <v>3.0</v>
      </c>
      <c r="H204" s="1">
        <v>4.0</v>
      </c>
      <c r="I204" s="1">
        <v>2.0</v>
      </c>
      <c r="J204" s="1">
        <v>3.0</v>
      </c>
      <c r="K204" s="1">
        <v>3.0</v>
      </c>
      <c r="L204" s="1">
        <v>5.0</v>
      </c>
      <c r="M204" s="1">
        <v>4.0</v>
      </c>
      <c r="N204" s="1">
        <v>5.0</v>
      </c>
      <c r="O204" s="1">
        <v>3.0</v>
      </c>
      <c r="P204" s="1">
        <v>2.0</v>
      </c>
      <c r="Q204" s="1">
        <v>4.0</v>
      </c>
      <c r="R204" s="1">
        <v>3.0</v>
      </c>
      <c r="S204" s="1">
        <v>1.0</v>
      </c>
      <c r="T204" s="1">
        <v>5.0</v>
      </c>
      <c r="U204" s="1">
        <v>3.0</v>
      </c>
      <c r="V204" s="1">
        <v>4.0</v>
      </c>
      <c r="W204" s="1">
        <v>5.0</v>
      </c>
      <c r="X204" s="1">
        <v>4.0</v>
      </c>
      <c r="Y204" s="1">
        <v>2.0</v>
      </c>
      <c r="Z204" s="1">
        <v>4.0</v>
      </c>
      <c r="AA204" s="1">
        <v>5.0</v>
      </c>
      <c r="AB204" s="1">
        <v>5.0</v>
      </c>
      <c r="AC204" s="1">
        <v>5.0</v>
      </c>
      <c r="AD204" s="1">
        <v>5.0</v>
      </c>
      <c r="AE204" s="1">
        <v>3.0</v>
      </c>
      <c r="AF204" s="1">
        <v>2.0</v>
      </c>
      <c r="AG204" s="1">
        <v>3.0</v>
      </c>
      <c r="AH204" s="1">
        <v>4.0</v>
      </c>
      <c r="AI204" s="1">
        <v>4.0</v>
      </c>
      <c r="AJ204" s="1">
        <v>5.0</v>
      </c>
      <c r="AK204" s="1">
        <v>4.0</v>
      </c>
      <c r="AL204" s="1">
        <v>5.0</v>
      </c>
      <c r="AM204" s="1">
        <v>2.0</v>
      </c>
      <c r="AN204" s="1">
        <v>4.0</v>
      </c>
      <c r="AO204" s="1">
        <v>4.0</v>
      </c>
      <c r="AP204" s="1">
        <v>5.0</v>
      </c>
      <c r="AQ204" s="1">
        <v>1.0</v>
      </c>
      <c r="AR204" s="1">
        <v>3.0</v>
      </c>
      <c r="AS204" s="1">
        <v>4.0</v>
      </c>
      <c r="AT204" s="1">
        <v>4.0</v>
      </c>
      <c r="AU204" s="1">
        <v>5.0</v>
      </c>
      <c r="AV204" s="1">
        <v>5.0</v>
      </c>
      <c r="AW204" s="1">
        <v>2.0</v>
      </c>
      <c r="AX204" s="1">
        <v>4.0</v>
      </c>
      <c r="AY204" s="1">
        <v>4.0</v>
      </c>
      <c r="AZ204" s="1">
        <v>4.0</v>
      </c>
      <c r="BA204" s="1">
        <v>5.0</v>
      </c>
      <c r="BB204" s="1">
        <v>5.0</v>
      </c>
      <c r="BC204" s="1">
        <v>5.0</v>
      </c>
      <c r="BD204" s="1">
        <v>5.0</v>
      </c>
      <c r="BE204" s="1">
        <v>3.0</v>
      </c>
      <c r="BF204" s="1">
        <v>5.0</v>
      </c>
      <c r="BG204" s="1">
        <v>5.0</v>
      </c>
      <c r="BH204" s="1">
        <v>5.0</v>
      </c>
      <c r="BI204" s="1">
        <v>5.0</v>
      </c>
      <c r="BJ204" s="1">
        <v>3.0</v>
      </c>
      <c r="BK204" s="1">
        <v>3.0</v>
      </c>
      <c r="BL204" s="1">
        <v>3.0</v>
      </c>
      <c r="BM204" s="1">
        <v>5.0</v>
      </c>
      <c r="BN204" s="1">
        <v>5.0</v>
      </c>
      <c r="BO204" s="1">
        <v>5.0</v>
      </c>
      <c r="BP204" s="1">
        <v>5.0</v>
      </c>
      <c r="BQ204" s="1">
        <v>5.0</v>
      </c>
      <c r="BR204" s="1">
        <v>5.0</v>
      </c>
      <c r="BS204" s="1">
        <v>5.0</v>
      </c>
      <c r="BT204" s="1">
        <v>5.0</v>
      </c>
      <c r="BU204" s="1">
        <v>5.0</v>
      </c>
      <c r="BV204" s="1">
        <v>5.0</v>
      </c>
      <c r="BW204" s="1">
        <v>5.0</v>
      </c>
      <c r="BX204" s="1">
        <v>5.0</v>
      </c>
      <c r="BY204" s="1">
        <v>5.0</v>
      </c>
      <c r="BZ204" s="1">
        <v>5.0</v>
      </c>
    </row>
    <row r="205">
      <c r="A205" s="19">
        <v>46287.40411689815</v>
      </c>
      <c r="B205" s="1" t="s">
        <v>162</v>
      </c>
      <c r="C205" s="1" t="s">
        <v>1021</v>
      </c>
      <c r="D205" s="1">
        <v>2025.0</v>
      </c>
      <c r="E205" s="1" t="s">
        <v>296</v>
      </c>
      <c r="F205" s="1" t="s">
        <v>1022</v>
      </c>
      <c r="G205" s="1">
        <v>1.0</v>
      </c>
      <c r="H205" s="1">
        <v>1.0</v>
      </c>
      <c r="I205" s="1">
        <v>5.0</v>
      </c>
      <c r="J205" s="1">
        <v>5.0</v>
      </c>
      <c r="K205" s="1">
        <v>3.0</v>
      </c>
      <c r="L205" s="1">
        <v>3.0</v>
      </c>
      <c r="M205" s="1">
        <v>3.0</v>
      </c>
      <c r="N205" s="1">
        <v>2.0</v>
      </c>
      <c r="O205" s="1">
        <v>4.0</v>
      </c>
      <c r="P205" s="1">
        <v>4.0</v>
      </c>
      <c r="Q205" s="1">
        <v>4.0</v>
      </c>
      <c r="R205" s="1">
        <v>4.0</v>
      </c>
      <c r="S205" s="1">
        <v>2.0</v>
      </c>
      <c r="T205" s="1">
        <v>4.0</v>
      </c>
      <c r="U205" s="1">
        <v>3.0</v>
      </c>
      <c r="V205" s="1">
        <v>4.0</v>
      </c>
      <c r="W205" s="1">
        <v>4.0</v>
      </c>
      <c r="X205" s="1">
        <v>4.0</v>
      </c>
      <c r="Y205" s="1">
        <v>2.0</v>
      </c>
      <c r="Z205" s="1">
        <v>2.0</v>
      </c>
      <c r="AA205" s="1">
        <v>5.0</v>
      </c>
      <c r="AB205" s="1">
        <v>4.0</v>
      </c>
      <c r="AC205" s="1">
        <v>4.0</v>
      </c>
      <c r="AD205" s="1">
        <v>3.0</v>
      </c>
      <c r="AE205" s="1">
        <v>4.0</v>
      </c>
      <c r="AF205" s="1">
        <v>4.0</v>
      </c>
      <c r="AG205" s="1">
        <v>4.0</v>
      </c>
      <c r="AH205" s="1">
        <v>4.0</v>
      </c>
      <c r="AI205" s="1">
        <v>4.0</v>
      </c>
      <c r="AJ205" s="1">
        <v>4.0</v>
      </c>
      <c r="AK205" s="1">
        <v>2.0</v>
      </c>
      <c r="AL205" s="1">
        <v>2.0</v>
      </c>
      <c r="AM205" s="1">
        <v>4.0</v>
      </c>
      <c r="AN205" s="1">
        <v>4.0</v>
      </c>
      <c r="AO205" s="1">
        <v>4.0</v>
      </c>
      <c r="AP205" s="1">
        <v>3.0</v>
      </c>
      <c r="AQ205" s="1">
        <v>3.0</v>
      </c>
      <c r="AR205" s="1">
        <v>3.0</v>
      </c>
      <c r="AS205" s="1">
        <v>4.0</v>
      </c>
      <c r="AT205" s="1">
        <v>4.0</v>
      </c>
      <c r="AU205" s="1">
        <v>4.0</v>
      </c>
      <c r="AV205" s="1">
        <v>4.0</v>
      </c>
      <c r="AW205" s="1">
        <v>2.0</v>
      </c>
      <c r="AX205" s="1">
        <v>4.0</v>
      </c>
      <c r="AY205" s="1">
        <v>4.0</v>
      </c>
      <c r="AZ205" s="1">
        <v>4.0</v>
      </c>
      <c r="BA205" s="1">
        <v>4.0</v>
      </c>
      <c r="BB205" s="1">
        <v>4.0</v>
      </c>
      <c r="BC205" s="1">
        <v>4.0</v>
      </c>
      <c r="BD205" s="1">
        <v>4.0</v>
      </c>
      <c r="BE205" s="1">
        <v>4.0</v>
      </c>
      <c r="BF205" s="1">
        <v>4.0</v>
      </c>
      <c r="BG205" s="1">
        <v>4.0</v>
      </c>
      <c r="BH205" s="1">
        <v>4.0</v>
      </c>
      <c r="BI205" s="1">
        <v>4.0</v>
      </c>
      <c r="BJ205" s="1">
        <v>4.0</v>
      </c>
      <c r="BK205" s="1">
        <v>4.0</v>
      </c>
      <c r="BL205" s="1">
        <v>4.0</v>
      </c>
      <c r="BM205" s="1">
        <v>4.0</v>
      </c>
      <c r="BN205" s="1">
        <v>4.0</v>
      </c>
      <c r="BO205" s="1">
        <v>4.0</v>
      </c>
      <c r="BP205" s="1">
        <v>4.0</v>
      </c>
      <c r="BQ205" s="1">
        <v>4.0</v>
      </c>
      <c r="BR205" s="1">
        <v>4.0</v>
      </c>
      <c r="BS205" s="1">
        <v>4.0</v>
      </c>
      <c r="BT205" s="1">
        <v>4.0</v>
      </c>
      <c r="BU205" s="1">
        <v>4.0</v>
      </c>
      <c r="BV205" s="1">
        <v>4.0</v>
      </c>
      <c r="BW205" s="1">
        <v>4.0</v>
      </c>
      <c r="BX205" s="1">
        <v>4.0</v>
      </c>
      <c r="BY205" s="1">
        <v>4.0</v>
      </c>
      <c r="BZ205" s="1">
        <v>4.0</v>
      </c>
    </row>
    <row r="206">
      <c r="A206" s="19">
        <v>46287.404118125</v>
      </c>
      <c r="B206" s="1" t="s">
        <v>162</v>
      </c>
      <c r="C206" s="1" t="s">
        <v>1023</v>
      </c>
      <c r="D206" s="1">
        <v>2025.0</v>
      </c>
      <c r="E206" s="1" t="s">
        <v>365</v>
      </c>
      <c r="F206" s="1" t="s">
        <v>1024</v>
      </c>
      <c r="G206" s="1">
        <v>2.0</v>
      </c>
      <c r="H206" s="1">
        <v>2.0</v>
      </c>
      <c r="I206" s="1">
        <v>2.0</v>
      </c>
      <c r="J206" s="1">
        <v>3.0</v>
      </c>
      <c r="K206" s="1">
        <v>3.0</v>
      </c>
      <c r="L206" s="1">
        <v>3.0</v>
      </c>
      <c r="M206" s="1">
        <v>3.0</v>
      </c>
      <c r="N206" s="1">
        <v>3.0</v>
      </c>
      <c r="O206" s="1">
        <v>3.0</v>
      </c>
      <c r="P206" s="1">
        <v>3.0</v>
      </c>
      <c r="Q206" s="1">
        <v>3.0</v>
      </c>
      <c r="R206" s="1">
        <v>4.0</v>
      </c>
      <c r="S206" s="1">
        <v>2.0</v>
      </c>
      <c r="T206" s="1">
        <v>3.0</v>
      </c>
      <c r="U206" s="1">
        <v>4.0</v>
      </c>
      <c r="V206" s="1">
        <v>4.0</v>
      </c>
      <c r="W206" s="1">
        <v>4.0</v>
      </c>
      <c r="X206" s="1">
        <v>3.0</v>
      </c>
      <c r="Y206" s="1">
        <v>3.0</v>
      </c>
      <c r="Z206" s="1">
        <v>3.0</v>
      </c>
      <c r="AA206" s="1">
        <v>4.0</v>
      </c>
      <c r="AB206" s="1">
        <v>4.0</v>
      </c>
      <c r="AC206" s="1">
        <v>4.0</v>
      </c>
      <c r="AD206" s="1">
        <v>5.0</v>
      </c>
      <c r="AE206" s="1">
        <v>5.0</v>
      </c>
      <c r="AF206" s="1">
        <v>4.0</v>
      </c>
      <c r="AG206" s="1">
        <v>5.0</v>
      </c>
      <c r="AH206" s="1">
        <v>5.0</v>
      </c>
      <c r="AI206" s="1">
        <v>4.0</v>
      </c>
      <c r="AJ206" s="1">
        <v>4.0</v>
      </c>
      <c r="AK206" s="1">
        <v>3.0</v>
      </c>
      <c r="AL206" s="1">
        <v>3.0</v>
      </c>
      <c r="AM206" s="1">
        <v>3.0</v>
      </c>
      <c r="AN206" s="1">
        <v>4.0</v>
      </c>
      <c r="AO206" s="1">
        <v>3.0</v>
      </c>
      <c r="AP206" s="1">
        <v>4.0</v>
      </c>
      <c r="AQ206" s="1">
        <v>3.0</v>
      </c>
      <c r="AR206" s="1">
        <v>3.0</v>
      </c>
      <c r="AS206" s="1">
        <v>4.0</v>
      </c>
      <c r="AT206" s="1">
        <v>4.0</v>
      </c>
      <c r="AU206" s="1">
        <v>3.0</v>
      </c>
      <c r="AV206" s="1">
        <v>4.0</v>
      </c>
      <c r="AW206" s="1">
        <v>3.0</v>
      </c>
      <c r="AX206" s="1">
        <v>3.0</v>
      </c>
      <c r="AY206" s="1">
        <v>4.0</v>
      </c>
      <c r="AZ206" s="1">
        <v>4.0</v>
      </c>
      <c r="BA206" s="1">
        <v>3.0</v>
      </c>
      <c r="BB206" s="1">
        <v>3.0</v>
      </c>
      <c r="BC206" s="1">
        <v>3.0</v>
      </c>
      <c r="BD206" s="1">
        <v>3.0</v>
      </c>
      <c r="BE206" s="1">
        <v>4.0</v>
      </c>
      <c r="BF206" s="1">
        <v>4.0</v>
      </c>
      <c r="BG206" s="1">
        <v>2.0</v>
      </c>
      <c r="BH206" s="1">
        <v>4.0</v>
      </c>
      <c r="BI206" s="1">
        <v>3.0</v>
      </c>
      <c r="BJ206" s="1">
        <v>3.0</v>
      </c>
      <c r="BK206" s="1">
        <v>3.0</v>
      </c>
      <c r="BL206" s="1">
        <v>3.0</v>
      </c>
      <c r="BM206" s="1">
        <v>3.0</v>
      </c>
      <c r="BN206" s="1">
        <v>4.0</v>
      </c>
      <c r="BO206" s="1">
        <v>3.0</v>
      </c>
      <c r="BP206" s="1">
        <v>3.0</v>
      </c>
      <c r="BQ206" s="1">
        <v>4.0</v>
      </c>
      <c r="BR206" s="1">
        <v>4.0</v>
      </c>
      <c r="BS206" s="1">
        <v>3.0</v>
      </c>
      <c r="BT206" s="1">
        <v>3.0</v>
      </c>
      <c r="BU206" s="1">
        <v>3.0</v>
      </c>
      <c r="BV206" s="1">
        <v>3.0</v>
      </c>
      <c r="BW206" s="1">
        <v>3.0</v>
      </c>
      <c r="BX206" s="1">
        <v>4.0</v>
      </c>
      <c r="BY206" s="1">
        <v>3.0</v>
      </c>
      <c r="BZ206" s="1">
        <v>4.0</v>
      </c>
    </row>
    <row r="207">
      <c r="A207" s="19">
        <v>46287.40411826389</v>
      </c>
      <c r="B207" s="1" t="s">
        <v>162</v>
      </c>
      <c r="C207" s="1" t="s">
        <v>1025</v>
      </c>
      <c r="D207" s="1">
        <v>2025.0</v>
      </c>
      <c r="E207" s="1" t="s">
        <v>296</v>
      </c>
      <c r="F207" s="1" t="s">
        <v>1026</v>
      </c>
      <c r="G207" s="1">
        <v>2.0</v>
      </c>
      <c r="H207" s="1">
        <v>2.0</v>
      </c>
      <c r="I207" s="1">
        <v>2.0</v>
      </c>
      <c r="J207" s="1">
        <v>4.0</v>
      </c>
      <c r="K207" s="1">
        <v>5.0</v>
      </c>
      <c r="L207" s="1">
        <v>1.0</v>
      </c>
      <c r="M207" s="1">
        <v>4.0</v>
      </c>
      <c r="N207" s="1">
        <v>2.0</v>
      </c>
      <c r="O207" s="1">
        <v>2.0</v>
      </c>
      <c r="P207" s="1">
        <v>5.0</v>
      </c>
      <c r="Q207" s="1">
        <v>2.0</v>
      </c>
      <c r="R207" s="1">
        <v>3.0</v>
      </c>
      <c r="S207" s="1">
        <v>4.0</v>
      </c>
      <c r="T207" s="1">
        <v>4.0</v>
      </c>
      <c r="U207" s="1">
        <v>2.0</v>
      </c>
      <c r="V207" s="1">
        <v>4.0</v>
      </c>
      <c r="W207" s="1">
        <v>4.0</v>
      </c>
      <c r="X207" s="1">
        <v>1.0</v>
      </c>
      <c r="Y207" s="1">
        <v>5.0</v>
      </c>
      <c r="Z207" s="1">
        <v>2.0</v>
      </c>
      <c r="AA207" s="1">
        <v>2.0</v>
      </c>
      <c r="AB207" s="1">
        <v>5.0</v>
      </c>
      <c r="AC207" s="1">
        <v>5.0</v>
      </c>
      <c r="AD207" s="1">
        <v>2.0</v>
      </c>
      <c r="AE207" s="1">
        <v>2.0</v>
      </c>
      <c r="AF207" s="1">
        <v>2.0</v>
      </c>
      <c r="AG207" s="1">
        <v>2.0</v>
      </c>
      <c r="AH207" s="1">
        <v>3.0</v>
      </c>
      <c r="AI207" s="1">
        <v>2.0</v>
      </c>
      <c r="AJ207" s="1">
        <v>4.0</v>
      </c>
      <c r="AK207" s="1">
        <v>4.0</v>
      </c>
      <c r="AL207" s="1">
        <v>2.0</v>
      </c>
      <c r="AM207" s="1">
        <v>2.0</v>
      </c>
      <c r="AN207" s="1">
        <v>4.0</v>
      </c>
      <c r="AO207" s="1">
        <v>4.0</v>
      </c>
      <c r="AP207" s="1">
        <v>1.0</v>
      </c>
      <c r="AQ207" s="1">
        <v>4.0</v>
      </c>
      <c r="AR207" s="1">
        <v>2.0</v>
      </c>
      <c r="AS207" s="1">
        <v>2.0</v>
      </c>
      <c r="AT207" s="1">
        <v>4.0</v>
      </c>
      <c r="AU207" s="1">
        <v>3.0</v>
      </c>
      <c r="AV207" s="1">
        <v>4.0</v>
      </c>
      <c r="AW207" s="1">
        <v>4.0</v>
      </c>
      <c r="AX207" s="1">
        <v>2.0</v>
      </c>
      <c r="AY207" s="1">
        <v>5.0</v>
      </c>
      <c r="AZ207" s="1">
        <v>4.0</v>
      </c>
      <c r="BA207" s="1">
        <v>4.0</v>
      </c>
      <c r="BB207" s="1">
        <v>4.0</v>
      </c>
      <c r="BC207" s="1">
        <v>5.0</v>
      </c>
      <c r="BD207" s="1">
        <v>2.0</v>
      </c>
      <c r="BE207" s="1">
        <v>2.0</v>
      </c>
      <c r="BF207" s="1">
        <v>5.0</v>
      </c>
      <c r="BG207" s="1">
        <v>4.0</v>
      </c>
      <c r="BH207" s="1">
        <v>4.0</v>
      </c>
      <c r="BI207" s="1">
        <v>4.0</v>
      </c>
      <c r="BJ207" s="1">
        <v>4.0</v>
      </c>
      <c r="BK207" s="1">
        <v>4.0</v>
      </c>
      <c r="BL207" s="1">
        <v>2.0</v>
      </c>
      <c r="BM207" s="1">
        <v>2.0</v>
      </c>
      <c r="BN207" s="1">
        <v>4.0</v>
      </c>
      <c r="BO207" s="1">
        <v>4.0</v>
      </c>
      <c r="BP207" s="1">
        <v>4.0</v>
      </c>
      <c r="BQ207" s="1">
        <v>4.0</v>
      </c>
      <c r="BR207" s="1">
        <v>4.0</v>
      </c>
      <c r="BS207" s="1">
        <v>4.0</v>
      </c>
      <c r="BT207" s="1">
        <v>2.0</v>
      </c>
      <c r="BU207" s="1">
        <v>4.0</v>
      </c>
      <c r="BV207" s="1">
        <v>2.0</v>
      </c>
      <c r="BW207" s="1">
        <v>4.0</v>
      </c>
      <c r="BX207" s="1">
        <v>4.0</v>
      </c>
      <c r="BY207" s="1">
        <v>4.0</v>
      </c>
      <c r="BZ207" s="1">
        <v>4.0</v>
      </c>
    </row>
    <row r="208">
      <c r="A208" s="19">
        <v>46287.404187962966</v>
      </c>
      <c r="B208" s="1" t="s">
        <v>162</v>
      </c>
      <c r="C208" s="1" t="s">
        <v>1027</v>
      </c>
      <c r="D208" s="1">
        <v>2026.0</v>
      </c>
      <c r="E208" s="1" t="s">
        <v>768</v>
      </c>
      <c r="F208" s="1" t="s">
        <v>1028</v>
      </c>
      <c r="G208" s="1">
        <v>4.0</v>
      </c>
      <c r="H208" s="1">
        <v>4.0</v>
      </c>
      <c r="I208" s="1">
        <v>3.0</v>
      </c>
      <c r="J208" s="1">
        <v>5.0</v>
      </c>
      <c r="K208" s="1">
        <v>4.0</v>
      </c>
      <c r="L208" s="1">
        <v>3.0</v>
      </c>
      <c r="M208" s="1">
        <v>5.0</v>
      </c>
      <c r="N208" s="1">
        <v>4.0</v>
      </c>
      <c r="O208" s="1">
        <v>5.0</v>
      </c>
      <c r="P208" s="1">
        <v>5.0</v>
      </c>
      <c r="Q208" s="1">
        <v>4.0</v>
      </c>
      <c r="R208" s="1">
        <v>5.0</v>
      </c>
      <c r="S208" s="1">
        <v>4.0</v>
      </c>
      <c r="T208" s="1">
        <v>4.0</v>
      </c>
      <c r="U208" s="1">
        <v>4.0</v>
      </c>
      <c r="V208" s="1">
        <v>5.0</v>
      </c>
      <c r="W208" s="1">
        <v>5.0</v>
      </c>
      <c r="X208" s="1">
        <v>4.0</v>
      </c>
      <c r="Y208" s="1">
        <v>3.0</v>
      </c>
      <c r="Z208" s="1">
        <v>5.0</v>
      </c>
      <c r="AA208" s="1">
        <v>5.0</v>
      </c>
      <c r="AB208" s="1">
        <v>5.0</v>
      </c>
      <c r="AC208" s="1">
        <v>5.0</v>
      </c>
      <c r="AD208" s="1">
        <v>3.0</v>
      </c>
      <c r="AE208" s="1">
        <v>4.0</v>
      </c>
      <c r="AF208" s="1">
        <v>4.0</v>
      </c>
      <c r="AG208" s="1">
        <v>4.0</v>
      </c>
      <c r="AH208" s="1">
        <v>5.0</v>
      </c>
      <c r="AI208" s="1">
        <v>5.0</v>
      </c>
      <c r="AJ208" s="1">
        <v>5.0</v>
      </c>
      <c r="AK208" s="1">
        <v>4.0</v>
      </c>
      <c r="AL208" s="1">
        <v>4.0</v>
      </c>
      <c r="AM208" s="1">
        <v>4.0</v>
      </c>
      <c r="AN208" s="1">
        <v>5.0</v>
      </c>
      <c r="AO208" s="1">
        <v>5.0</v>
      </c>
      <c r="AP208" s="1">
        <v>3.0</v>
      </c>
      <c r="AQ208" s="1">
        <v>4.0</v>
      </c>
      <c r="AR208" s="1">
        <v>4.0</v>
      </c>
      <c r="AS208" s="1">
        <v>4.0</v>
      </c>
      <c r="AT208" s="1">
        <v>5.0</v>
      </c>
      <c r="AU208" s="1">
        <v>5.0</v>
      </c>
      <c r="AV208" s="1">
        <v>3.0</v>
      </c>
      <c r="AW208" s="1">
        <v>4.0</v>
      </c>
      <c r="AX208" s="1">
        <v>4.0</v>
      </c>
      <c r="AY208" s="1">
        <v>5.0</v>
      </c>
      <c r="AZ208" s="1">
        <v>5.0</v>
      </c>
      <c r="BA208" s="1">
        <v>5.0</v>
      </c>
      <c r="BB208" s="1">
        <v>5.0</v>
      </c>
      <c r="BC208" s="1">
        <v>5.0</v>
      </c>
      <c r="BD208" s="1">
        <v>5.0</v>
      </c>
      <c r="BE208" s="1">
        <v>4.0</v>
      </c>
      <c r="BF208" s="1">
        <v>5.0</v>
      </c>
      <c r="BG208" s="1">
        <v>5.0</v>
      </c>
      <c r="BH208" s="1">
        <v>5.0</v>
      </c>
      <c r="BI208" s="1">
        <v>5.0</v>
      </c>
      <c r="BJ208" s="1">
        <v>5.0</v>
      </c>
      <c r="BK208" s="1">
        <v>5.0</v>
      </c>
      <c r="BL208" s="1">
        <v>5.0</v>
      </c>
      <c r="BM208" s="1">
        <v>5.0</v>
      </c>
      <c r="BN208" s="1">
        <v>5.0</v>
      </c>
      <c r="BO208" s="1">
        <v>5.0</v>
      </c>
      <c r="BP208" s="1">
        <v>4.0</v>
      </c>
      <c r="BQ208" s="1">
        <v>4.0</v>
      </c>
      <c r="BR208" s="1">
        <v>5.0</v>
      </c>
      <c r="BS208" s="1">
        <v>5.0</v>
      </c>
      <c r="BT208" s="1">
        <v>5.0</v>
      </c>
      <c r="BU208" s="1">
        <v>4.0</v>
      </c>
      <c r="BV208" s="1">
        <v>4.0</v>
      </c>
      <c r="BW208" s="1">
        <v>5.0</v>
      </c>
      <c r="BX208" s="1">
        <v>5.0</v>
      </c>
      <c r="BY208" s="1">
        <v>4.0</v>
      </c>
      <c r="BZ208" s="1">
        <v>5.0</v>
      </c>
    </row>
    <row r="209">
      <c r="A209" s="19">
        <v>46287.40424517361</v>
      </c>
      <c r="B209" s="1" t="s">
        <v>162</v>
      </c>
      <c r="C209" s="1" t="s">
        <v>1032</v>
      </c>
      <c r="D209" s="1">
        <v>2025.0</v>
      </c>
      <c r="E209" s="1" t="s">
        <v>340</v>
      </c>
      <c r="F209" s="1" t="s">
        <v>1033</v>
      </c>
      <c r="G209" s="1">
        <v>3.0</v>
      </c>
      <c r="H209" s="1">
        <v>3.0</v>
      </c>
      <c r="I209" s="1">
        <v>2.0</v>
      </c>
      <c r="J209" s="1">
        <v>4.0</v>
      </c>
      <c r="K209" s="1">
        <v>4.0</v>
      </c>
      <c r="L209" s="1">
        <v>3.0</v>
      </c>
      <c r="M209" s="1">
        <v>3.0</v>
      </c>
      <c r="N209" s="1">
        <v>3.0</v>
      </c>
      <c r="O209" s="1">
        <v>2.0</v>
      </c>
      <c r="P209" s="1">
        <v>3.0</v>
      </c>
      <c r="Q209" s="1">
        <v>3.0</v>
      </c>
      <c r="R209" s="1">
        <v>3.0</v>
      </c>
      <c r="S209" s="1">
        <v>4.0</v>
      </c>
      <c r="T209" s="1">
        <v>3.0</v>
      </c>
      <c r="U209" s="1">
        <v>2.0</v>
      </c>
      <c r="V209" s="1">
        <v>4.0</v>
      </c>
      <c r="W209" s="1">
        <v>3.0</v>
      </c>
      <c r="X209" s="1">
        <v>3.0</v>
      </c>
      <c r="Y209" s="1">
        <v>2.0</v>
      </c>
      <c r="Z209" s="1">
        <v>3.0</v>
      </c>
      <c r="AA209" s="1">
        <v>3.0</v>
      </c>
      <c r="AB209" s="1">
        <v>4.0</v>
      </c>
      <c r="AC209" s="1">
        <v>3.0</v>
      </c>
      <c r="AD209" s="1">
        <v>2.0</v>
      </c>
      <c r="AE209" s="1">
        <v>2.0</v>
      </c>
      <c r="AF209" s="1">
        <v>3.0</v>
      </c>
      <c r="AG209" s="1">
        <v>3.0</v>
      </c>
      <c r="AH209" s="1">
        <v>3.0</v>
      </c>
      <c r="AI209" s="1">
        <v>2.0</v>
      </c>
      <c r="AJ209" s="1">
        <v>3.0</v>
      </c>
      <c r="AK209" s="1">
        <v>3.0</v>
      </c>
      <c r="AL209" s="1">
        <v>3.0</v>
      </c>
      <c r="AM209" s="1">
        <v>2.0</v>
      </c>
      <c r="AN209" s="1">
        <v>4.0</v>
      </c>
      <c r="AO209" s="1">
        <v>3.0</v>
      </c>
      <c r="AP209" s="1">
        <v>3.0</v>
      </c>
      <c r="AQ209" s="1">
        <v>4.0</v>
      </c>
      <c r="AR209" s="1">
        <v>3.0</v>
      </c>
      <c r="AS209" s="1">
        <v>4.0</v>
      </c>
      <c r="AT209" s="1">
        <v>4.0</v>
      </c>
      <c r="AU209" s="1">
        <v>3.0</v>
      </c>
      <c r="AV209" s="1">
        <v>3.0</v>
      </c>
      <c r="AW209" s="1">
        <v>3.0</v>
      </c>
      <c r="AX209" s="1">
        <v>3.0</v>
      </c>
      <c r="AY209" s="1">
        <v>3.0</v>
      </c>
      <c r="AZ209" s="1">
        <v>4.0</v>
      </c>
      <c r="BA209" s="1">
        <v>2.0</v>
      </c>
      <c r="BB209" s="1">
        <v>3.0</v>
      </c>
      <c r="BC209" s="1">
        <v>3.0</v>
      </c>
      <c r="BD209" s="1">
        <v>3.0</v>
      </c>
      <c r="BE209" s="1">
        <v>3.0</v>
      </c>
      <c r="BF209" s="1">
        <v>3.0</v>
      </c>
      <c r="BG209" s="1">
        <v>3.0</v>
      </c>
      <c r="BH209" s="1">
        <v>3.0</v>
      </c>
      <c r="BI209" s="1">
        <v>3.0</v>
      </c>
      <c r="BJ209" s="1">
        <v>4.0</v>
      </c>
      <c r="BK209" s="1">
        <v>3.0</v>
      </c>
      <c r="BL209" s="1">
        <v>3.0</v>
      </c>
      <c r="BM209" s="1">
        <v>3.0</v>
      </c>
      <c r="BN209" s="1">
        <v>3.0</v>
      </c>
      <c r="BO209" s="1">
        <v>3.0</v>
      </c>
      <c r="BP209" s="1">
        <v>3.0</v>
      </c>
      <c r="BQ209" s="1">
        <v>2.0</v>
      </c>
      <c r="BR209" s="1">
        <v>3.0</v>
      </c>
      <c r="BS209" s="1">
        <v>3.0</v>
      </c>
      <c r="BT209" s="1">
        <v>3.0</v>
      </c>
      <c r="BU209" s="1">
        <v>3.0</v>
      </c>
      <c r="BV209" s="1">
        <v>2.0</v>
      </c>
      <c r="BW209" s="1">
        <v>3.0</v>
      </c>
      <c r="BX209" s="1">
        <v>3.0</v>
      </c>
      <c r="BY209" s="1">
        <v>3.0</v>
      </c>
      <c r="BZ209" s="1">
        <v>3.0</v>
      </c>
    </row>
    <row r="210">
      <c r="A210" s="19">
        <v>46287.40424834491</v>
      </c>
      <c r="B210" s="1" t="s">
        <v>162</v>
      </c>
      <c r="C210" s="1" t="s">
        <v>1037</v>
      </c>
      <c r="D210" s="1">
        <v>2002.0</v>
      </c>
      <c r="E210" s="1" t="s">
        <v>365</v>
      </c>
      <c r="F210" s="1" t="s">
        <v>1038</v>
      </c>
      <c r="G210" s="1">
        <v>5.0</v>
      </c>
      <c r="H210" s="1">
        <v>5.0</v>
      </c>
      <c r="I210" s="1">
        <v>4.0</v>
      </c>
      <c r="J210" s="1">
        <v>4.0</v>
      </c>
      <c r="K210" s="1">
        <v>3.0</v>
      </c>
      <c r="L210" s="1">
        <v>3.0</v>
      </c>
      <c r="M210" s="1">
        <v>5.0</v>
      </c>
      <c r="N210" s="1">
        <v>4.0</v>
      </c>
      <c r="O210" s="1">
        <v>2.0</v>
      </c>
      <c r="P210" s="1">
        <v>4.0</v>
      </c>
      <c r="Q210" s="1">
        <v>2.0</v>
      </c>
      <c r="R210" s="1">
        <v>4.0</v>
      </c>
      <c r="S210" s="1">
        <v>3.0</v>
      </c>
      <c r="T210" s="1">
        <v>4.0</v>
      </c>
      <c r="U210" s="1">
        <v>4.0</v>
      </c>
      <c r="V210" s="1">
        <v>4.0</v>
      </c>
      <c r="W210" s="1">
        <v>3.0</v>
      </c>
      <c r="X210" s="1">
        <v>3.0</v>
      </c>
      <c r="Y210" s="1">
        <v>5.0</v>
      </c>
      <c r="Z210" s="1">
        <v>5.0</v>
      </c>
      <c r="AA210" s="1">
        <v>4.0</v>
      </c>
      <c r="AB210" s="1">
        <v>4.0</v>
      </c>
      <c r="AC210" s="1">
        <v>4.0</v>
      </c>
      <c r="AD210" s="1">
        <v>2.0</v>
      </c>
      <c r="AE210" s="1">
        <v>5.0</v>
      </c>
      <c r="AF210" s="1">
        <v>4.0</v>
      </c>
      <c r="AG210" s="1">
        <v>2.0</v>
      </c>
      <c r="AH210" s="1">
        <v>5.0</v>
      </c>
      <c r="AI210" s="1">
        <v>3.0</v>
      </c>
      <c r="AJ210" s="1">
        <v>4.0</v>
      </c>
      <c r="AK210" s="1">
        <v>4.0</v>
      </c>
      <c r="AL210" s="1">
        <v>4.0</v>
      </c>
      <c r="AM210" s="1">
        <v>4.0</v>
      </c>
      <c r="AN210" s="1">
        <v>4.0</v>
      </c>
      <c r="AO210" s="1">
        <v>3.0</v>
      </c>
      <c r="AP210" s="1">
        <v>3.0</v>
      </c>
      <c r="AQ210" s="1">
        <v>2.0</v>
      </c>
      <c r="AR210" s="1">
        <v>4.0</v>
      </c>
      <c r="AS210" s="1">
        <v>4.0</v>
      </c>
      <c r="AT210" s="1">
        <v>4.0</v>
      </c>
      <c r="AU210" s="1">
        <v>3.0</v>
      </c>
      <c r="AV210" s="1">
        <v>4.0</v>
      </c>
      <c r="AW210" s="1">
        <v>5.0</v>
      </c>
      <c r="AX210" s="1">
        <v>4.0</v>
      </c>
      <c r="AY210" s="1">
        <v>4.0</v>
      </c>
      <c r="AZ210" s="1">
        <v>4.0</v>
      </c>
      <c r="BA210" s="1">
        <v>5.0</v>
      </c>
      <c r="BB210" s="1">
        <v>4.0</v>
      </c>
      <c r="BC210" s="1">
        <v>4.0</v>
      </c>
      <c r="BD210" s="1">
        <v>4.0</v>
      </c>
      <c r="BE210" s="1">
        <v>4.0</v>
      </c>
      <c r="BF210" s="1">
        <v>4.0</v>
      </c>
      <c r="BG210" s="1">
        <v>4.0</v>
      </c>
      <c r="BH210" s="1">
        <v>4.0</v>
      </c>
      <c r="BI210" s="1">
        <v>5.0</v>
      </c>
      <c r="BJ210" s="1">
        <v>5.0</v>
      </c>
      <c r="BK210" s="1">
        <v>3.0</v>
      </c>
      <c r="BL210" s="1">
        <v>5.0</v>
      </c>
      <c r="BM210" s="1">
        <v>4.0</v>
      </c>
      <c r="BN210" s="1">
        <v>4.0</v>
      </c>
      <c r="BO210" s="1">
        <v>4.0</v>
      </c>
      <c r="BP210" s="1">
        <v>5.0</v>
      </c>
      <c r="BQ210" s="1">
        <v>5.0</v>
      </c>
      <c r="BR210" s="1">
        <v>5.0</v>
      </c>
      <c r="BS210" s="1">
        <v>4.0</v>
      </c>
      <c r="BT210" s="1">
        <v>4.0</v>
      </c>
      <c r="BU210" s="1">
        <v>5.0</v>
      </c>
      <c r="BV210" s="1">
        <v>4.0</v>
      </c>
      <c r="BW210" s="1">
        <v>4.0</v>
      </c>
      <c r="BX210" s="1">
        <v>4.0</v>
      </c>
      <c r="BY210" s="1">
        <v>4.0</v>
      </c>
      <c r="BZ210" s="1">
        <v>4.0</v>
      </c>
    </row>
    <row r="211">
      <c r="A211" s="19">
        <v>46287.4043680787</v>
      </c>
      <c r="B211" s="1" t="s">
        <v>162</v>
      </c>
      <c r="C211" s="1" t="s">
        <v>1039</v>
      </c>
      <c r="D211" s="1">
        <v>2025.0</v>
      </c>
      <c r="E211" s="1" t="s">
        <v>1040</v>
      </c>
      <c r="F211" s="1" t="s">
        <v>1041</v>
      </c>
      <c r="G211" s="1">
        <v>5.0</v>
      </c>
      <c r="H211" s="1">
        <v>4.0</v>
      </c>
      <c r="I211" s="1">
        <v>5.0</v>
      </c>
      <c r="J211" s="1">
        <v>5.0</v>
      </c>
      <c r="K211" s="1">
        <v>5.0</v>
      </c>
      <c r="L211" s="1">
        <v>5.0</v>
      </c>
      <c r="M211" s="1">
        <v>4.0</v>
      </c>
      <c r="N211" s="1">
        <v>5.0</v>
      </c>
      <c r="O211" s="1">
        <v>4.0</v>
      </c>
      <c r="P211" s="1">
        <v>5.0</v>
      </c>
      <c r="Q211" s="1">
        <v>4.0</v>
      </c>
      <c r="R211" s="1">
        <v>5.0</v>
      </c>
      <c r="S211" s="1">
        <v>5.0</v>
      </c>
      <c r="T211" s="1">
        <v>5.0</v>
      </c>
      <c r="U211" s="1">
        <v>5.0</v>
      </c>
      <c r="V211" s="1">
        <v>5.0</v>
      </c>
      <c r="W211" s="1">
        <v>5.0</v>
      </c>
      <c r="X211" s="1">
        <v>5.0</v>
      </c>
      <c r="Y211" s="1">
        <v>4.0</v>
      </c>
      <c r="Z211" s="1">
        <v>4.0</v>
      </c>
      <c r="AA211" s="1">
        <v>5.0</v>
      </c>
      <c r="AB211" s="1">
        <v>5.0</v>
      </c>
      <c r="AC211" s="1">
        <v>5.0</v>
      </c>
      <c r="AD211" s="1">
        <v>5.0</v>
      </c>
      <c r="AE211" s="1">
        <v>5.0</v>
      </c>
      <c r="AF211" s="1">
        <v>5.0</v>
      </c>
      <c r="AG211" s="1">
        <v>5.0</v>
      </c>
      <c r="AH211" s="1">
        <v>5.0</v>
      </c>
      <c r="AI211" s="1">
        <v>4.0</v>
      </c>
      <c r="AJ211" s="1">
        <v>5.0</v>
      </c>
      <c r="AK211" s="1">
        <v>5.0</v>
      </c>
      <c r="AL211" s="1">
        <v>5.0</v>
      </c>
      <c r="AM211" s="1">
        <v>5.0</v>
      </c>
      <c r="AN211" s="1">
        <v>5.0</v>
      </c>
      <c r="AO211" s="1">
        <v>5.0</v>
      </c>
      <c r="AP211" s="1">
        <v>4.0</v>
      </c>
      <c r="AQ211" s="1">
        <v>5.0</v>
      </c>
      <c r="AR211" s="1">
        <v>4.0</v>
      </c>
      <c r="AS211" s="1">
        <v>5.0</v>
      </c>
      <c r="AT211" s="1">
        <v>5.0</v>
      </c>
      <c r="AU211" s="1">
        <v>5.0</v>
      </c>
      <c r="AV211" s="1">
        <v>5.0</v>
      </c>
      <c r="AW211" s="1">
        <v>4.0</v>
      </c>
      <c r="AX211" s="1">
        <v>5.0</v>
      </c>
      <c r="AY211" s="1">
        <v>2.0</v>
      </c>
      <c r="AZ211" s="1">
        <v>5.0</v>
      </c>
      <c r="BA211" s="1">
        <v>5.0</v>
      </c>
      <c r="BB211" s="1">
        <v>5.0</v>
      </c>
      <c r="BC211" s="1">
        <v>5.0</v>
      </c>
      <c r="BD211" s="1">
        <v>5.0</v>
      </c>
      <c r="BE211" s="1">
        <v>5.0</v>
      </c>
      <c r="BF211" s="1">
        <v>5.0</v>
      </c>
      <c r="BG211" s="1">
        <v>5.0</v>
      </c>
      <c r="BH211" s="1">
        <v>5.0</v>
      </c>
      <c r="BI211" s="1">
        <v>5.0</v>
      </c>
      <c r="BJ211" s="1">
        <v>3.0</v>
      </c>
      <c r="BK211" s="1">
        <v>4.0</v>
      </c>
      <c r="BL211" s="1">
        <v>5.0</v>
      </c>
      <c r="BM211" s="1">
        <v>5.0</v>
      </c>
      <c r="BN211" s="1">
        <v>5.0</v>
      </c>
      <c r="BO211" s="1">
        <v>5.0</v>
      </c>
      <c r="BP211" s="1">
        <v>4.0</v>
      </c>
      <c r="BQ211" s="1">
        <v>4.0</v>
      </c>
      <c r="BR211" s="1">
        <v>5.0</v>
      </c>
      <c r="BS211" s="1">
        <v>5.0</v>
      </c>
      <c r="BT211" s="1">
        <v>5.0</v>
      </c>
      <c r="BU211" s="1">
        <v>5.0</v>
      </c>
      <c r="BV211" s="1">
        <v>5.0</v>
      </c>
      <c r="BW211" s="1">
        <v>5.0</v>
      </c>
      <c r="BX211" s="1">
        <v>5.0</v>
      </c>
      <c r="BY211" s="1">
        <v>5.0</v>
      </c>
      <c r="BZ211" s="1">
        <v>5.0</v>
      </c>
    </row>
    <row r="212">
      <c r="A212" s="19">
        <v>46287.40441415509</v>
      </c>
      <c r="B212" s="1" t="s">
        <v>162</v>
      </c>
      <c r="C212" s="1" t="s">
        <v>1042</v>
      </c>
      <c r="D212" s="1">
        <v>2025.0</v>
      </c>
      <c r="E212" s="1" t="s">
        <v>213</v>
      </c>
      <c r="F212" s="1" t="s">
        <v>1043</v>
      </c>
      <c r="G212" s="1">
        <v>3.0</v>
      </c>
      <c r="H212" s="1">
        <v>5.0</v>
      </c>
      <c r="I212" s="1">
        <v>3.0</v>
      </c>
      <c r="J212" s="1">
        <v>5.0</v>
      </c>
      <c r="K212" s="1">
        <v>5.0</v>
      </c>
      <c r="L212" s="1">
        <v>5.0</v>
      </c>
      <c r="M212" s="1">
        <v>5.0</v>
      </c>
      <c r="N212" s="1">
        <v>4.0</v>
      </c>
      <c r="O212" s="1">
        <v>5.0</v>
      </c>
      <c r="P212" s="1">
        <v>4.0</v>
      </c>
      <c r="Q212" s="1">
        <v>3.0</v>
      </c>
      <c r="R212" s="1">
        <v>4.0</v>
      </c>
      <c r="S212" s="1">
        <v>4.0</v>
      </c>
      <c r="T212" s="1">
        <v>4.0</v>
      </c>
      <c r="U212" s="1">
        <v>3.0</v>
      </c>
      <c r="V212" s="1">
        <v>5.0</v>
      </c>
      <c r="W212" s="1">
        <v>4.0</v>
      </c>
      <c r="X212" s="1">
        <v>4.0</v>
      </c>
      <c r="Y212" s="1">
        <v>5.0</v>
      </c>
      <c r="Z212" s="1">
        <v>4.0</v>
      </c>
      <c r="AA212" s="1">
        <v>4.0</v>
      </c>
      <c r="AB212" s="1">
        <v>3.0</v>
      </c>
      <c r="AC212" s="1">
        <v>4.0</v>
      </c>
      <c r="AD212" s="1">
        <v>4.0</v>
      </c>
      <c r="AE212" s="1">
        <v>5.0</v>
      </c>
      <c r="AF212" s="1">
        <v>4.0</v>
      </c>
      <c r="AG212" s="1">
        <v>4.0</v>
      </c>
      <c r="AH212" s="1">
        <v>5.0</v>
      </c>
      <c r="AI212" s="1">
        <v>3.0</v>
      </c>
      <c r="AJ212" s="1">
        <v>4.0</v>
      </c>
      <c r="AK212" s="1">
        <v>4.0</v>
      </c>
      <c r="AL212" s="1">
        <v>4.0</v>
      </c>
      <c r="AM212" s="1">
        <v>3.0</v>
      </c>
      <c r="AN212" s="1">
        <v>4.0</v>
      </c>
      <c r="AO212" s="1">
        <v>4.0</v>
      </c>
      <c r="AP212" s="1">
        <v>3.0</v>
      </c>
      <c r="AQ212" s="1">
        <v>5.0</v>
      </c>
      <c r="AR212" s="1">
        <v>4.0</v>
      </c>
      <c r="AS212" s="1">
        <v>3.0</v>
      </c>
      <c r="AT212" s="1">
        <v>5.0</v>
      </c>
      <c r="AU212" s="1">
        <v>4.0</v>
      </c>
      <c r="AV212" s="1">
        <v>5.0</v>
      </c>
      <c r="AW212" s="1">
        <v>3.0</v>
      </c>
      <c r="AX212" s="1">
        <v>4.0</v>
      </c>
      <c r="AY212" s="1">
        <v>4.0</v>
      </c>
      <c r="AZ212" s="1">
        <v>5.0</v>
      </c>
      <c r="BA212" s="1">
        <v>5.0</v>
      </c>
      <c r="BB212" s="1">
        <v>4.0</v>
      </c>
      <c r="BC212" s="1">
        <v>5.0</v>
      </c>
      <c r="BD212" s="1">
        <v>4.0</v>
      </c>
      <c r="BE212" s="1">
        <v>5.0</v>
      </c>
      <c r="BF212" s="1">
        <v>5.0</v>
      </c>
      <c r="BG212" s="1">
        <v>4.0</v>
      </c>
      <c r="BH212" s="1">
        <v>4.0</v>
      </c>
      <c r="BI212" s="1">
        <v>4.0</v>
      </c>
      <c r="BJ212" s="1">
        <v>3.0</v>
      </c>
      <c r="BK212" s="1">
        <v>4.0</v>
      </c>
      <c r="BL212" s="1">
        <v>5.0</v>
      </c>
      <c r="BM212" s="1">
        <v>5.0</v>
      </c>
      <c r="BN212" s="1">
        <v>4.0</v>
      </c>
      <c r="BO212" s="1">
        <v>4.0</v>
      </c>
      <c r="BP212" s="1">
        <v>4.0</v>
      </c>
      <c r="BQ212" s="1">
        <v>4.0</v>
      </c>
      <c r="BR212" s="1">
        <v>4.0</v>
      </c>
      <c r="BS212" s="1">
        <v>4.0</v>
      </c>
      <c r="BT212" s="1">
        <v>4.0</v>
      </c>
      <c r="BU212" s="1">
        <v>4.0</v>
      </c>
      <c r="BV212" s="1">
        <v>4.0</v>
      </c>
      <c r="BW212" s="1">
        <v>4.0</v>
      </c>
      <c r="BX212" s="1">
        <v>4.0</v>
      </c>
      <c r="BY212" s="1">
        <v>4.0</v>
      </c>
      <c r="BZ212" s="1">
        <v>4.0</v>
      </c>
    </row>
    <row r="213">
      <c r="A213" s="19">
        <v>46287.4044769676</v>
      </c>
      <c r="B213" s="1" t="s">
        <v>162</v>
      </c>
      <c r="C213" s="1" t="s">
        <v>1047</v>
      </c>
      <c r="D213" s="1">
        <v>2025.0</v>
      </c>
      <c r="E213" s="1" t="s">
        <v>213</v>
      </c>
      <c r="F213" s="1" t="s">
        <v>1048</v>
      </c>
      <c r="G213" s="1">
        <v>1.0</v>
      </c>
      <c r="H213" s="1">
        <v>1.0</v>
      </c>
      <c r="I213" s="1">
        <v>3.0</v>
      </c>
      <c r="J213" s="1">
        <v>5.0</v>
      </c>
      <c r="K213" s="1">
        <v>4.0</v>
      </c>
      <c r="L213" s="1">
        <v>2.0</v>
      </c>
      <c r="M213" s="1">
        <v>2.0</v>
      </c>
      <c r="N213" s="1">
        <v>1.0</v>
      </c>
      <c r="O213" s="1">
        <v>3.0</v>
      </c>
      <c r="P213" s="1">
        <v>5.0</v>
      </c>
      <c r="Q213" s="1">
        <v>4.0</v>
      </c>
      <c r="R213" s="1">
        <v>4.0</v>
      </c>
      <c r="S213" s="1">
        <v>3.0</v>
      </c>
      <c r="T213" s="1">
        <v>3.0</v>
      </c>
      <c r="U213" s="1">
        <v>3.0</v>
      </c>
      <c r="V213" s="1">
        <v>5.0</v>
      </c>
      <c r="W213" s="1">
        <v>5.0</v>
      </c>
      <c r="X213" s="1">
        <v>1.0</v>
      </c>
      <c r="Y213" s="1">
        <v>1.0</v>
      </c>
      <c r="Z213" s="1">
        <v>1.0</v>
      </c>
      <c r="AA213" s="1">
        <v>5.0</v>
      </c>
      <c r="AB213" s="1">
        <v>5.0</v>
      </c>
      <c r="AC213" s="1">
        <v>5.0</v>
      </c>
      <c r="AD213" s="1">
        <v>3.0</v>
      </c>
      <c r="AE213" s="1">
        <v>1.0</v>
      </c>
      <c r="AF213" s="1">
        <v>3.0</v>
      </c>
      <c r="AG213" s="1">
        <v>4.0</v>
      </c>
      <c r="AH213" s="1">
        <v>5.0</v>
      </c>
      <c r="AI213" s="1">
        <v>4.0</v>
      </c>
      <c r="AJ213" s="1">
        <v>4.0</v>
      </c>
      <c r="AK213" s="1">
        <v>1.0</v>
      </c>
      <c r="AL213" s="1">
        <v>3.0</v>
      </c>
      <c r="AM213" s="1">
        <v>2.0</v>
      </c>
      <c r="AN213" s="1">
        <v>4.0</v>
      </c>
      <c r="AO213" s="1">
        <v>3.0</v>
      </c>
      <c r="AP213" s="1">
        <v>3.0</v>
      </c>
      <c r="AQ213" s="1">
        <v>1.0</v>
      </c>
      <c r="AR213" s="1">
        <v>2.0</v>
      </c>
      <c r="AS213" s="1">
        <v>2.0</v>
      </c>
      <c r="AT213" s="1">
        <v>4.0</v>
      </c>
      <c r="AU213" s="1">
        <v>5.0</v>
      </c>
      <c r="AV213" s="1">
        <v>4.0</v>
      </c>
      <c r="AW213" s="1">
        <v>1.0</v>
      </c>
      <c r="AX213" s="1">
        <v>1.0</v>
      </c>
      <c r="AY213" s="1">
        <v>3.0</v>
      </c>
      <c r="AZ213" s="1">
        <v>4.0</v>
      </c>
      <c r="BA213" s="1">
        <v>5.0</v>
      </c>
      <c r="BB213" s="1">
        <v>4.0</v>
      </c>
      <c r="BC213" s="1">
        <v>3.0</v>
      </c>
      <c r="BD213" s="1">
        <v>2.0</v>
      </c>
      <c r="BE213" s="1">
        <v>2.0</v>
      </c>
      <c r="BF213" s="1">
        <v>5.0</v>
      </c>
      <c r="BG213" s="1">
        <v>4.0</v>
      </c>
      <c r="BH213" s="1">
        <v>4.0</v>
      </c>
      <c r="BI213" s="1">
        <v>4.0</v>
      </c>
      <c r="BJ213" s="1">
        <v>3.0</v>
      </c>
      <c r="BK213" s="1">
        <v>3.0</v>
      </c>
      <c r="BL213" s="1">
        <v>5.0</v>
      </c>
      <c r="BM213" s="1">
        <v>5.0</v>
      </c>
      <c r="BN213" s="1">
        <v>4.0</v>
      </c>
      <c r="BO213" s="1">
        <v>2.0</v>
      </c>
      <c r="BP213" s="1">
        <v>2.0</v>
      </c>
      <c r="BQ213" s="1">
        <v>3.0</v>
      </c>
      <c r="BR213" s="1">
        <v>5.0</v>
      </c>
      <c r="BS213" s="1">
        <v>5.0</v>
      </c>
      <c r="BT213" s="1">
        <v>5.0</v>
      </c>
      <c r="BU213" s="1">
        <v>1.0</v>
      </c>
      <c r="BV213" s="1">
        <v>4.0</v>
      </c>
      <c r="BW213" s="1">
        <v>1.0</v>
      </c>
      <c r="BX213" s="1">
        <v>4.0</v>
      </c>
      <c r="BY213" s="1">
        <v>4.0</v>
      </c>
      <c r="BZ213" s="1">
        <v>4.0</v>
      </c>
    </row>
    <row r="214">
      <c r="A214" s="19">
        <v>46287.40453944444</v>
      </c>
      <c r="B214" s="1" t="s">
        <v>162</v>
      </c>
      <c r="C214" s="1" t="s">
        <v>1052</v>
      </c>
      <c r="D214" s="1">
        <v>2026.0</v>
      </c>
      <c r="E214" s="1" t="s">
        <v>924</v>
      </c>
      <c r="F214" s="1" t="s">
        <v>1053</v>
      </c>
      <c r="G214" s="1">
        <v>2.0</v>
      </c>
      <c r="H214" s="1">
        <v>3.0</v>
      </c>
      <c r="I214" s="1">
        <v>4.0</v>
      </c>
      <c r="J214" s="1">
        <v>5.0</v>
      </c>
      <c r="K214" s="1">
        <v>5.0</v>
      </c>
      <c r="L214" s="1">
        <v>4.0</v>
      </c>
      <c r="M214" s="1">
        <v>3.0</v>
      </c>
      <c r="N214" s="1">
        <v>3.0</v>
      </c>
      <c r="O214" s="1">
        <v>3.0</v>
      </c>
      <c r="P214" s="1">
        <v>4.0</v>
      </c>
      <c r="Q214" s="1">
        <v>4.0</v>
      </c>
      <c r="R214" s="1">
        <v>5.0</v>
      </c>
      <c r="S214" s="1">
        <v>3.0</v>
      </c>
      <c r="T214" s="1">
        <v>3.0</v>
      </c>
      <c r="U214" s="1">
        <v>3.0</v>
      </c>
      <c r="V214" s="1">
        <v>4.0</v>
      </c>
      <c r="W214" s="1">
        <v>3.0</v>
      </c>
      <c r="X214" s="1">
        <v>2.0</v>
      </c>
      <c r="Y214" s="1">
        <v>2.0</v>
      </c>
      <c r="Z214" s="1">
        <v>3.0</v>
      </c>
      <c r="AA214" s="1">
        <v>4.0</v>
      </c>
      <c r="AB214" s="1">
        <v>5.0</v>
      </c>
      <c r="AC214" s="1">
        <v>4.0</v>
      </c>
      <c r="AD214" s="1">
        <v>4.0</v>
      </c>
      <c r="AE214" s="1">
        <v>3.0</v>
      </c>
      <c r="AF214" s="1">
        <v>4.0</v>
      </c>
      <c r="AG214" s="1">
        <v>3.0</v>
      </c>
      <c r="AH214" s="1">
        <v>5.0</v>
      </c>
      <c r="AI214" s="1">
        <v>3.0</v>
      </c>
      <c r="AJ214" s="1">
        <v>5.0</v>
      </c>
      <c r="AK214" s="1">
        <v>3.0</v>
      </c>
      <c r="AL214" s="1">
        <v>4.0</v>
      </c>
      <c r="AM214" s="1">
        <v>4.0</v>
      </c>
      <c r="AN214" s="1">
        <v>4.0</v>
      </c>
      <c r="AO214" s="1">
        <v>4.0</v>
      </c>
      <c r="AP214" s="1">
        <v>3.0</v>
      </c>
      <c r="AQ214" s="1">
        <v>3.0</v>
      </c>
      <c r="AR214" s="1">
        <v>3.0</v>
      </c>
      <c r="AS214" s="1">
        <v>4.0</v>
      </c>
      <c r="AT214" s="1">
        <v>4.0</v>
      </c>
      <c r="AU214" s="1">
        <v>4.0</v>
      </c>
      <c r="AV214" s="1">
        <v>5.0</v>
      </c>
      <c r="AW214" s="1">
        <v>3.0</v>
      </c>
      <c r="AX214" s="1">
        <v>3.0</v>
      </c>
      <c r="AY214" s="1">
        <v>3.0</v>
      </c>
      <c r="AZ214" s="1">
        <v>5.0</v>
      </c>
      <c r="BA214" s="1">
        <v>3.0</v>
      </c>
      <c r="BB214" s="1">
        <v>5.0</v>
      </c>
      <c r="BC214" s="1">
        <v>3.0</v>
      </c>
      <c r="BD214" s="1">
        <v>4.0</v>
      </c>
      <c r="BE214" s="1">
        <v>4.0</v>
      </c>
      <c r="BF214" s="1">
        <v>5.0</v>
      </c>
      <c r="BG214" s="1">
        <v>4.0</v>
      </c>
      <c r="BH214" s="1">
        <v>4.0</v>
      </c>
      <c r="BI214" s="1">
        <v>4.0</v>
      </c>
      <c r="BJ214" s="1">
        <v>2.0</v>
      </c>
      <c r="BK214" s="1">
        <v>3.0</v>
      </c>
      <c r="BL214" s="1">
        <v>4.0</v>
      </c>
      <c r="BM214" s="1">
        <v>5.0</v>
      </c>
      <c r="BN214" s="1">
        <v>5.0</v>
      </c>
      <c r="BO214" s="1">
        <v>3.0</v>
      </c>
      <c r="BP214" s="1">
        <v>4.0</v>
      </c>
      <c r="BQ214" s="1">
        <v>3.0</v>
      </c>
      <c r="BR214" s="1">
        <v>5.0</v>
      </c>
      <c r="BS214" s="1">
        <v>5.0</v>
      </c>
      <c r="BT214" s="1">
        <v>5.0</v>
      </c>
      <c r="BU214" s="1">
        <v>2.0</v>
      </c>
      <c r="BV214" s="1">
        <v>4.0</v>
      </c>
      <c r="BW214" s="1">
        <v>4.0</v>
      </c>
      <c r="BX214" s="1">
        <v>4.0</v>
      </c>
      <c r="BY214" s="1">
        <v>3.0</v>
      </c>
      <c r="BZ214" s="1">
        <v>4.0</v>
      </c>
    </row>
    <row r="215">
      <c r="A215" s="19">
        <v>46287.404667800925</v>
      </c>
      <c r="B215" s="1" t="s">
        <v>162</v>
      </c>
      <c r="C215" s="1" t="s">
        <v>1054</v>
      </c>
      <c r="D215" s="1">
        <v>2025.0</v>
      </c>
      <c r="E215" s="1" t="s">
        <v>591</v>
      </c>
      <c r="F215" s="1" t="s">
        <v>1055</v>
      </c>
      <c r="G215" s="1">
        <v>4.0</v>
      </c>
      <c r="H215" s="1">
        <v>3.0</v>
      </c>
      <c r="I215" s="1">
        <v>1.0</v>
      </c>
      <c r="J215" s="1">
        <v>3.0</v>
      </c>
      <c r="K215" s="1">
        <v>3.0</v>
      </c>
      <c r="L215" s="1">
        <v>3.0</v>
      </c>
      <c r="M215" s="1">
        <v>1.0</v>
      </c>
      <c r="N215" s="1">
        <v>1.0</v>
      </c>
      <c r="O215" s="1">
        <v>1.0</v>
      </c>
      <c r="P215" s="1">
        <v>3.0</v>
      </c>
      <c r="Q215" s="1">
        <v>3.0</v>
      </c>
      <c r="R215" s="1">
        <v>3.0</v>
      </c>
      <c r="S215" s="1">
        <v>2.0</v>
      </c>
      <c r="T215" s="1">
        <v>2.0</v>
      </c>
      <c r="U215" s="1">
        <v>1.0</v>
      </c>
      <c r="V215" s="1">
        <v>5.0</v>
      </c>
      <c r="W215" s="1">
        <v>4.0</v>
      </c>
      <c r="X215" s="1">
        <v>1.0</v>
      </c>
      <c r="Y215" s="1">
        <v>4.0</v>
      </c>
      <c r="Z215" s="1">
        <v>4.0</v>
      </c>
      <c r="AA215" s="1">
        <v>5.0</v>
      </c>
      <c r="AB215" s="1">
        <v>5.0</v>
      </c>
      <c r="AC215" s="1">
        <v>4.0</v>
      </c>
      <c r="AD215" s="1">
        <v>4.0</v>
      </c>
      <c r="AE215" s="1">
        <v>1.0</v>
      </c>
      <c r="AF215" s="1">
        <v>1.0</v>
      </c>
      <c r="AG215" s="1">
        <v>3.0</v>
      </c>
      <c r="AH215" s="1">
        <v>5.0</v>
      </c>
      <c r="AI215" s="1">
        <v>5.0</v>
      </c>
      <c r="AJ215" s="1">
        <v>5.0</v>
      </c>
      <c r="AK215" s="1">
        <v>3.0</v>
      </c>
      <c r="AL215" s="1">
        <v>3.0</v>
      </c>
      <c r="AM215" s="1">
        <v>1.0</v>
      </c>
      <c r="AN215" s="1">
        <v>4.0</v>
      </c>
      <c r="AO215" s="1">
        <v>1.0</v>
      </c>
      <c r="AP215" s="1">
        <v>1.0</v>
      </c>
      <c r="AQ215" s="1">
        <v>1.0</v>
      </c>
      <c r="AR215" s="1">
        <v>3.0</v>
      </c>
      <c r="AS215" s="1">
        <v>1.0</v>
      </c>
      <c r="AT215" s="1">
        <v>3.0</v>
      </c>
      <c r="AU215" s="1">
        <v>2.0</v>
      </c>
      <c r="AV215" s="1">
        <v>5.0</v>
      </c>
      <c r="AW215" s="1">
        <v>1.0</v>
      </c>
      <c r="AX215" s="1">
        <v>1.0</v>
      </c>
      <c r="AY215" s="1">
        <v>4.0</v>
      </c>
      <c r="AZ215" s="1">
        <v>5.0</v>
      </c>
      <c r="BA215" s="1">
        <v>4.0</v>
      </c>
      <c r="BB215" s="1">
        <v>5.0</v>
      </c>
      <c r="BC215" s="1">
        <v>5.0</v>
      </c>
      <c r="BD215" s="1">
        <v>1.0</v>
      </c>
      <c r="BE215" s="1">
        <v>1.0</v>
      </c>
      <c r="BF215" s="1">
        <v>5.0</v>
      </c>
      <c r="BG215" s="1">
        <v>3.0</v>
      </c>
      <c r="BH215" s="1">
        <v>3.0</v>
      </c>
      <c r="BI215" s="1">
        <v>5.0</v>
      </c>
      <c r="BJ215" s="1">
        <v>5.0</v>
      </c>
      <c r="BK215" s="1">
        <v>4.0</v>
      </c>
      <c r="BL215" s="1">
        <v>4.0</v>
      </c>
      <c r="BM215" s="1">
        <v>4.0</v>
      </c>
      <c r="BN215" s="1">
        <v>4.0</v>
      </c>
      <c r="BO215" s="1">
        <v>4.0</v>
      </c>
      <c r="BP215" s="1">
        <v>1.0</v>
      </c>
      <c r="BQ215" s="1">
        <v>1.0</v>
      </c>
      <c r="BR215" s="1">
        <v>5.0</v>
      </c>
      <c r="BS215" s="1">
        <v>5.0</v>
      </c>
      <c r="BT215" s="1">
        <v>5.0</v>
      </c>
      <c r="BU215" s="1">
        <v>1.0</v>
      </c>
      <c r="BV215" s="1">
        <v>3.0</v>
      </c>
      <c r="BW215" s="1">
        <v>3.0</v>
      </c>
      <c r="BX215" s="1">
        <v>5.0</v>
      </c>
      <c r="BY215" s="1">
        <v>5.0</v>
      </c>
      <c r="BZ215" s="1">
        <v>4.0</v>
      </c>
    </row>
    <row r="216">
      <c r="A216" s="19">
        <v>46287.40479706018</v>
      </c>
      <c r="B216" s="1" t="s">
        <v>162</v>
      </c>
      <c r="C216" s="1" t="s">
        <v>1056</v>
      </c>
      <c r="D216" s="1">
        <v>2025.0</v>
      </c>
      <c r="E216" s="1" t="s">
        <v>356</v>
      </c>
      <c r="F216" s="1" t="s">
        <v>1057</v>
      </c>
      <c r="G216" s="1">
        <v>5.0</v>
      </c>
      <c r="H216" s="1">
        <v>1.0</v>
      </c>
      <c r="I216" s="1">
        <v>1.0</v>
      </c>
      <c r="J216" s="1">
        <v>1.0</v>
      </c>
      <c r="K216" s="1">
        <v>1.0</v>
      </c>
      <c r="L216" s="1">
        <v>1.0</v>
      </c>
      <c r="M216" s="1">
        <v>1.0</v>
      </c>
      <c r="N216" s="1">
        <v>1.0</v>
      </c>
      <c r="O216" s="1">
        <v>1.0</v>
      </c>
      <c r="P216" s="1">
        <v>1.0</v>
      </c>
      <c r="Q216" s="1">
        <v>1.0</v>
      </c>
      <c r="R216" s="1">
        <v>5.0</v>
      </c>
      <c r="S216" s="1">
        <v>1.0</v>
      </c>
      <c r="T216" s="1">
        <v>1.0</v>
      </c>
      <c r="U216" s="1">
        <v>5.0</v>
      </c>
      <c r="V216" s="1">
        <v>5.0</v>
      </c>
      <c r="W216" s="1">
        <v>1.0</v>
      </c>
      <c r="X216" s="1">
        <v>5.0</v>
      </c>
      <c r="Y216" s="1">
        <v>5.0</v>
      </c>
      <c r="Z216" s="1">
        <v>1.0</v>
      </c>
      <c r="AA216" s="1">
        <v>1.0</v>
      </c>
      <c r="AB216" s="1">
        <v>5.0</v>
      </c>
      <c r="AC216" s="1">
        <v>5.0</v>
      </c>
      <c r="AD216" s="1">
        <v>5.0</v>
      </c>
      <c r="AE216" s="1">
        <v>1.0</v>
      </c>
      <c r="AF216" s="1">
        <v>1.0</v>
      </c>
      <c r="AG216" s="1">
        <v>1.0</v>
      </c>
      <c r="AH216" s="1">
        <v>5.0</v>
      </c>
      <c r="AI216" s="1">
        <v>1.0</v>
      </c>
      <c r="AJ216" s="1">
        <v>5.0</v>
      </c>
      <c r="AK216" s="1">
        <v>1.0</v>
      </c>
      <c r="AL216" s="1">
        <v>1.0</v>
      </c>
      <c r="AM216" s="1">
        <v>1.0</v>
      </c>
      <c r="AN216" s="1">
        <v>1.0</v>
      </c>
      <c r="AO216" s="1">
        <v>1.0</v>
      </c>
      <c r="AP216" s="1">
        <v>5.0</v>
      </c>
      <c r="AQ216" s="1">
        <v>5.0</v>
      </c>
      <c r="AR216" s="1">
        <v>1.0</v>
      </c>
      <c r="AS216" s="1">
        <v>5.0</v>
      </c>
      <c r="AT216" s="1">
        <v>1.0</v>
      </c>
      <c r="AU216" s="1">
        <v>1.0</v>
      </c>
      <c r="AV216" s="1">
        <v>5.0</v>
      </c>
      <c r="AW216" s="1">
        <v>1.0</v>
      </c>
      <c r="AX216" s="1">
        <v>1.0</v>
      </c>
      <c r="AY216" s="1">
        <v>5.0</v>
      </c>
      <c r="AZ216" s="1">
        <v>1.0</v>
      </c>
      <c r="BA216" s="1">
        <v>1.0</v>
      </c>
      <c r="BB216" s="1">
        <v>5.0</v>
      </c>
      <c r="BC216" s="1">
        <v>1.0</v>
      </c>
      <c r="BD216" s="1">
        <v>1.0</v>
      </c>
      <c r="BE216" s="1">
        <v>1.0</v>
      </c>
      <c r="BF216" s="1">
        <v>5.0</v>
      </c>
      <c r="BG216" s="1">
        <v>4.0</v>
      </c>
      <c r="BH216" s="1">
        <v>1.0</v>
      </c>
      <c r="BI216" s="1">
        <v>5.0</v>
      </c>
      <c r="BJ216" s="1">
        <v>1.0</v>
      </c>
      <c r="BK216" s="1">
        <v>1.0</v>
      </c>
      <c r="BL216" s="1">
        <v>1.0</v>
      </c>
      <c r="BM216" s="1">
        <v>1.0</v>
      </c>
      <c r="BN216" s="1">
        <v>5.0</v>
      </c>
      <c r="BO216" s="1">
        <v>1.0</v>
      </c>
      <c r="BP216" s="1">
        <v>1.0</v>
      </c>
      <c r="BQ216" s="1">
        <v>1.0</v>
      </c>
      <c r="BR216" s="1">
        <v>5.0</v>
      </c>
      <c r="BS216" s="1">
        <v>1.0</v>
      </c>
      <c r="BT216" s="1">
        <v>1.0</v>
      </c>
      <c r="BU216" s="1">
        <v>1.0</v>
      </c>
      <c r="BV216" s="1">
        <v>1.0</v>
      </c>
      <c r="BW216" s="1">
        <v>1.0</v>
      </c>
      <c r="BX216" s="1">
        <v>5.0</v>
      </c>
      <c r="BY216" s="1">
        <v>1.0</v>
      </c>
      <c r="BZ216" s="1">
        <v>1.0</v>
      </c>
    </row>
    <row r="217">
      <c r="A217" s="19">
        <v>46287.40483357639</v>
      </c>
      <c r="B217" s="1" t="s">
        <v>162</v>
      </c>
      <c r="C217" s="1" t="s">
        <v>1061</v>
      </c>
      <c r="D217" s="1">
        <v>2026.0</v>
      </c>
      <c r="E217" s="1" t="s">
        <v>225</v>
      </c>
      <c r="F217" s="1" t="s">
        <v>1062</v>
      </c>
      <c r="G217" s="1">
        <v>3.0</v>
      </c>
      <c r="H217" s="1">
        <v>3.0</v>
      </c>
      <c r="I217" s="1">
        <v>2.0</v>
      </c>
      <c r="J217" s="1">
        <v>4.0</v>
      </c>
      <c r="K217" s="1">
        <v>3.0</v>
      </c>
      <c r="L217" s="1">
        <v>3.0</v>
      </c>
      <c r="M217" s="1">
        <v>3.0</v>
      </c>
      <c r="N217" s="1">
        <v>3.0</v>
      </c>
      <c r="O217" s="1">
        <v>4.0</v>
      </c>
      <c r="P217" s="1">
        <v>3.0</v>
      </c>
      <c r="Q217" s="1">
        <v>3.0</v>
      </c>
      <c r="R217" s="1">
        <v>4.0</v>
      </c>
      <c r="S217" s="1">
        <v>2.0</v>
      </c>
      <c r="T217" s="1">
        <v>3.0</v>
      </c>
      <c r="U217" s="1">
        <v>3.0</v>
      </c>
      <c r="V217" s="1">
        <v>3.0</v>
      </c>
      <c r="W217" s="1">
        <v>3.0</v>
      </c>
      <c r="X217" s="1">
        <v>3.0</v>
      </c>
      <c r="Y217" s="1">
        <v>3.0</v>
      </c>
      <c r="Z217" s="1">
        <v>3.0</v>
      </c>
      <c r="AA217" s="1">
        <v>2.0</v>
      </c>
      <c r="AB217" s="1">
        <v>3.0</v>
      </c>
      <c r="AC217" s="1">
        <v>4.0</v>
      </c>
      <c r="AD217" s="1">
        <v>3.0</v>
      </c>
      <c r="AE217" s="1">
        <v>1.0</v>
      </c>
      <c r="AF217" s="1">
        <v>3.0</v>
      </c>
      <c r="AG217" s="1">
        <v>3.0</v>
      </c>
      <c r="AH217" s="1">
        <v>3.0</v>
      </c>
      <c r="AI217" s="1">
        <v>3.0</v>
      </c>
      <c r="AJ217" s="1">
        <v>3.0</v>
      </c>
      <c r="AK217" s="1">
        <v>3.0</v>
      </c>
      <c r="AL217" s="1">
        <v>3.0</v>
      </c>
      <c r="AM217" s="1">
        <v>3.0</v>
      </c>
      <c r="AN217" s="1">
        <v>3.0</v>
      </c>
      <c r="AO217" s="1">
        <v>3.0</v>
      </c>
      <c r="AP217" s="1">
        <v>3.0</v>
      </c>
      <c r="AQ217" s="1">
        <v>2.0</v>
      </c>
      <c r="AR217" s="1">
        <v>2.0</v>
      </c>
      <c r="AS217" s="1">
        <v>3.0</v>
      </c>
      <c r="AT217" s="1">
        <v>3.0</v>
      </c>
      <c r="AU217" s="1">
        <v>3.0</v>
      </c>
      <c r="AV217" s="1">
        <v>3.0</v>
      </c>
      <c r="AW217" s="1">
        <v>3.0</v>
      </c>
      <c r="AX217" s="1">
        <v>3.0</v>
      </c>
      <c r="AY217" s="1">
        <v>3.0</v>
      </c>
      <c r="AZ217" s="1">
        <v>3.0</v>
      </c>
      <c r="BA217" s="1">
        <v>3.0</v>
      </c>
      <c r="BB217" s="1">
        <v>3.0</v>
      </c>
      <c r="BC217" s="1">
        <v>3.0</v>
      </c>
      <c r="BD217" s="1">
        <v>3.0</v>
      </c>
      <c r="BE217" s="1">
        <v>3.0</v>
      </c>
      <c r="BF217" s="1">
        <v>3.0</v>
      </c>
      <c r="BG217" s="1">
        <v>3.0</v>
      </c>
      <c r="BH217" s="1">
        <v>3.0</v>
      </c>
      <c r="BI217" s="1">
        <v>3.0</v>
      </c>
      <c r="BJ217" s="1">
        <v>3.0</v>
      </c>
      <c r="BK217" s="1">
        <v>3.0</v>
      </c>
      <c r="BL217" s="1">
        <v>3.0</v>
      </c>
      <c r="BM217" s="1">
        <v>4.0</v>
      </c>
      <c r="BN217" s="1">
        <v>3.0</v>
      </c>
      <c r="BO217" s="1">
        <v>3.0</v>
      </c>
      <c r="BP217" s="1">
        <v>3.0</v>
      </c>
      <c r="BQ217" s="1">
        <v>3.0</v>
      </c>
      <c r="BR217" s="1">
        <v>3.0</v>
      </c>
      <c r="BS217" s="1">
        <v>3.0</v>
      </c>
      <c r="BT217" s="1">
        <v>3.0</v>
      </c>
      <c r="BU217" s="1">
        <v>3.0</v>
      </c>
      <c r="BV217" s="1">
        <v>3.0</v>
      </c>
      <c r="BW217" s="1">
        <v>3.0</v>
      </c>
      <c r="BX217" s="1">
        <v>3.0</v>
      </c>
      <c r="BY217" s="1">
        <v>3.0</v>
      </c>
      <c r="BZ217" s="1">
        <v>3.0</v>
      </c>
    </row>
    <row r="218">
      <c r="A218" s="19">
        <v>46287.40488261574</v>
      </c>
      <c r="B218" s="1" t="s">
        <v>162</v>
      </c>
      <c r="C218" s="1" t="s">
        <v>1066</v>
      </c>
      <c r="D218" s="1">
        <v>2025.0</v>
      </c>
      <c r="F218" s="1" t="s">
        <v>1067</v>
      </c>
      <c r="G218" s="1">
        <v>2.0</v>
      </c>
      <c r="H218" s="1">
        <v>2.0</v>
      </c>
      <c r="I218" s="1">
        <v>3.0</v>
      </c>
      <c r="J218" s="1">
        <v>4.0</v>
      </c>
      <c r="K218" s="1">
        <v>3.0</v>
      </c>
      <c r="L218" s="1">
        <v>4.0</v>
      </c>
      <c r="M218" s="1">
        <v>2.0</v>
      </c>
      <c r="N218" s="1">
        <v>4.0</v>
      </c>
      <c r="O218" s="1">
        <v>5.0</v>
      </c>
      <c r="P218" s="1">
        <v>1.0</v>
      </c>
      <c r="Q218" s="1">
        <v>1.0</v>
      </c>
      <c r="R218" s="1">
        <v>5.0</v>
      </c>
      <c r="S218" s="1">
        <v>4.0</v>
      </c>
      <c r="T218" s="1">
        <v>4.0</v>
      </c>
      <c r="U218" s="1">
        <v>5.0</v>
      </c>
      <c r="V218" s="1">
        <v>4.0</v>
      </c>
      <c r="W218" s="1">
        <v>3.0</v>
      </c>
      <c r="X218" s="1">
        <v>2.0</v>
      </c>
      <c r="Y218" s="1">
        <v>1.0</v>
      </c>
      <c r="Z218" s="1">
        <v>2.0</v>
      </c>
      <c r="AA218" s="1">
        <v>5.0</v>
      </c>
      <c r="AB218" s="1">
        <v>5.0</v>
      </c>
      <c r="AC218" s="1">
        <v>3.0</v>
      </c>
      <c r="AD218" s="1">
        <v>2.0</v>
      </c>
      <c r="AE218" s="1">
        <v>1.0</v>
      </c>
      <c r="AF218" s="1">
        <v>1.0</v>
      </c>
      <c r="AG218" s="1">
        <v>4.0</v>
      </c>
      <c r="AH218" s="1">
        <v>5.0</v>
      </c>
      <c r="AI218" s="1">
        <v>4.0</v>
      </c>
      <c r="AJ218" s="1">
        <v>5.0</v>
      </c>
      <c r="AK218" s="1">
        <v>5.0</v>
      </c>
      <c r="AL218" s="1">
        <v>4.0</v>
      </c>
      <c r="AM218" s="1">
        <v>5.0</v>
      </c>
      <c r="AN218" s="1">
        <v>4.0</v>
      </c>
      <c r="AO218" s="1">
        <v>1.0</v>
      </c>
      <c r="AP218" s="1">
        <v>4.0</v>
      </c>
      <c r="AQ218" s="1">
        <v>2.0</v>
      </c>
      <c r="AR218" s="1">
        <v>2.0</v>
      </c>
      <c r="AS218" s="1">
        <v>2.0</v>
      </c>
      <c r="AT218" s="1">
        <v>4.0</v>
      </c>
      <c r="AU218" s="1">
        <v>1.0</v>
      </c>
      <c r="AV218" s="1">
        <v>4.0</v>
      </c>
      <c r="AW218" s="1">
        <v>1.0</v>
      </c>
      <c r="AX218" s="1">
        <v>4.0</v>
      </c>
      <c r="AY218" s="1">
        <v>5.0</v>
      </c>
      <c r="AZ218" s="1">
        <v>5.0</v>
      </c>
      <c r="BA218" s="1">
        <v>2.0</v>
      </c>
      <c r="BB218" s="1">
        <v>5.0</v>
      </c>
      <c r="BC218" s="1">
        <v>4.0</v>
      </c>
      <c r="BD218" s="1">
        <v>5.0</v>
      </c>
      <c r="BE218" s="1">
        <v>4.0</v>
      </c>
      <c r="BF218" s="1">
        <v>5.0</v>
      </c>
      <c r="BG218" s="1">
        <v>5.0</v>
      </c>
      <c r="BH218" s="1">
        <v>5.0</v>
      </c>
      <c r="BI218" s="1">
        <v>4.0</v>
      </c>
      <c r="BJ218" s="1">
        <v>4.0</v>
      </c>
      <c r="BK218" s="1">
        <v>2.0</v>
      </c>
      <c r="BL218" s="1">
        <v>5.0</v>
      </c>
      <c r="BM218" s="1">
        <v>4.0</v>
      </c>
      <c r="BN218" s="1">
        <v>4.0</v>
      </c>
      <c r="BO218" s="1">
        <v>4.0</v>
      </c>
      <c r="BP218" s="1">
        <v>2.0</v>
      </c>
      <c r="BQ218" s="1">
        <v>4.0</v>
      </c>
      <c r="BR218" s="1">
        <v>5.0</v>
      </c>
      <c r="BS218" s="1">
        <v>5.0</v>
      </c>
      <c r="BT218" s="1">
        <v>4.0</v>
      </c>
      <c r="BU218" s="1">
        <v>1.0</v>
      </c>
      <c r="BV218" s="1">
        <v>2.0</v>
      </c>
      <c r="BW218" s="1">
        <v>2.0</v>
      </c>
      <c r="BX218" s="1">
        <v>5.0</v>
      </c>
      <c r="BY218" s="1">
        <v>4.0</v>
      </c>
      <c r="BZ218" s="1">
        <v>5.0</v>
      </c>
    </row>
    <row r="219">
      <c r="A219" s="19">
        <v>46287.40494638889</v>
      </c>
      <c r="B219" s="1" t="s">
        <v>162</v>
      </c>
      <c r="C219" s="1" t="s">
        <v>1071</v>
      </c>
      <c r="D219" s="1">
        <v>2025.0</v>
      </c>
      <c r="E219" s="1" t="s">
        <v>277</v>
      </c>
      <c r="F219" s="1" t="s">
        <v>1072</v>
      </c>
      <c r="G219" s="1">
        <v>5.0</v>
      </c>
      <c r="H219" s="1">
        <v>5.0</v>
      </c>
      <c r="I219" s="1">
        <v>3.0</v>
      </c>
      <c r="J219" s="1">
        <v>4.0</v>
      </c>
      <c r="K219" s="1">
        <v>3.0</v>
      </c>
      <c r="L219" s="1">
        <v>2.0</v>
      </c>
      <c r="M219" s="1">
        <v>5.0</v>
      </c>
      <c r="N219" s="1">
        <v>3.0</v>
      </c>
      <c r="O219" s="1">
        <v>5.0</v>
      </c>
      <c r="P219" s="1">
        <v>4.0</v>
      </c>
      <c r="Q219" s="1">
        <v>3.0</v>
      </c>
      <c r="R219" s="1">
        <v>4.0</v>
      </c>
      <c r="S219" s="1">
        <v>1.0</v>
      </c>
      <c r="T219" s="1">
        <v>4.0</v>
      </c>
      <c r="U219" s="1">
        <v>2.0</v>
      </c>
      <c r="V219" s="1">
        <v>4.0</v>
      </c>
      <c r="W219" s="1">
        <v>4.0</v>
      </c>
      <c r="X219" s="1">
        <v>4.0</v>
      </c>
      <c r="Y219" s="1">
        <v>5.0</v>
      </c>
      <c r="Z219" s="1">
        <v>3.0</v>
      </c>
      <c r="AA219" s="1">
        <v>2.0</v>
      </c>
      <c r="AB219" s="1">
        <v>5.0</v>
      </c>
      <c r="AC219" s="1">
        <v>3.0</v>
      </c>
      <c r="AD219" s="1">
        <v>1.0</v>
      </c>
      <c r="AE219" s="1">
        <v>3.0</v>
      </c>
      <c r="AF219" s="1">
        <v>1.0</v>
      </c>
      <c r="AG219" s="1">
        <v>4.0</v>
      </c>
      <c r="AH219" s="1">
        <v>4.0</v>
      </c>
      <c r="AI219" s="1">
        <v>4.0</v>
      </c>
      <c r="AJ219" s="1">
        <v>2.0</v>
      </c>
      <c r="AK219" s="1">
        <v>4.0</v>
      </c>
      <c r="AL219" s="1">
        <v>3.0</v>
      </c>
      <c r="AM219" s="1">
        <v>2.0</v>
      </c>
      <c r="AN219" s="1">
        <v>5.0</v>
      </c>
      <c r="AO219" s="1">
        <v>2.0</v>
      </c>
      <c r="AP219" s="1">
        <v>3.0</v>
      </c>
      <c r="AQ219" s="1">
        <v>2.0</v>
      </c>
      <c r="AR219" s="1">
        <v>5.0</v>
      </c>
      <c r="AS219" s="1">
        <v>4.0</v>
      </c>
      <c r="AT219" s="1">
        <v>4.0</v>
      </c>
      <c r="AU219" s="1">
        <v>4.0</v>
      </c>
      <c r="AV219" s="1">
        <v>1.0</v>
      </c>
      <c r="AW219" s="1">
        <v>4.0</v>
      </c>
      <c r="AX219" s="1">
        <v>1.0</v>
      </c>
      <c r="AY219" s="1">
        <v>5.0</v>
      </c>
      <c r="AZ219" s="1">
        <v>5.0</v>
      </c>
      <c r="BA219" s="1">
        <v>4.0</v>
      </c>
      <c r="BB219" s="1">
        <v>5.0</v>
      </c>
      <c r="BC219" s="1">
        <v>4.0</v>
      </c>
      <c r="BD219" s="1">
        <v>3.0</v>
      </c>
      <c r="BE219" s="1">
        <v>2.0</v>
      </c>
      <c r="BF219" s="1">
        <v>4.0</v>
      </c>
      <c r="BG219" s="1">
        <v>3.0</v>
      </c>
      <c r="BH219" s="1">
        <v>1.0</v>
      </c>
      <c r="BI219" s="1">
        <v>3.0</v>
      </c>
      <c r="BJ219" s="1">
        <v>5.0</v>
      </c>
      <c r="BK219" s="1">
        <v>4.0</v>
      </c>
      <c r="BL219" s="1">
        <v>3.0</v>
      </c>
      <c r="BM219" s="1">
        <v>5.0</v>
      </c>
      <c r="BN219" s="1">
        <v>2.0</v>
      </c>
      <c r="BO219" s="1">
        <v>4.0</v>
      </c>
      <c r="BP219" s="1">
        <v>5.0</v>
      </c>
      <c r="BQ219" s="1">
        <v>4.0</v>
      </c>
      <c r="BR219" s="1">
        <v>5.0</v>
      </c>
      <c r="BS219" s="1">
        <v>5.0</v>
      </c>
      <c r="BT219" s="1">
        <v>4.0</v>
      </c>
      <c r="BU219" s="1">
        <v>5.0</v>
      </c>
      <c r="BV219" s="1">
        <v>3.0</v>
      </c>
      <c r="BW219" s="1">
        <v>4.0</v>
      </c>
      <c r="BX219" s="1">
        <v>3.0</v>
      </c>
      <c r="BY219" s="1">
        <v>3.0</v>
      </c>
      <c r="BZ219" s="1">
        <v>5.0</v>
      </c>
    </row>
    <row r="220">
      <c r="A220" s="19">
        <v>46287.404949965276</v>
      </c>
      <c r="B220" s="1" t="s">
        <v>162</v>
      </c>
      <c r="C220" s="1" t="s">
        <v>1073</v>
      </c>
      <c r="D220" s="1">
        <v>2002.0</v>
      </c>
      <c r="E220" s="1" t="s">
        <v>277</v>
      </c>
      <c r="F220" s="1" t="s">
        <v>1074</v>
      </c>
      <c r="G220" s="1">
        <v>5.0</v>
      </c>
      <c r="H220" s="1">
        <v>5.0</v>
      </c>
      <c r="I220" s="1">
        <v>5.0</v>
      </c>
      <c r="J220" s="1">
        <v>5.0</v>
      </c>
      <c r="K220" s="1">
        <v>5.0</v>
      </c>
      <c r="L220" s="1">
        <v>5.0</v>
      </c>
      <c r="M220" s="1">
        <v>2.0</v>
      </c>
      <c r="N220" s="1">
        <v>5.0</v>
      </c>
      <c r="O220" s="1">
        <v>5.0</v>
      </c>
      <c r="P220" s="1">
        <v>4.0</v>
      </c>
      <c r="Q220" s="1">
        <v>2.0</v>
      </c>
      <c r="R220" s="1">
        <v>5.0</v>
      </c>
      <c r="S220" s="1">
        <v>4.0</v>
      </c>
      <c r="T220" s="1">
        <v>4.0</v>
      </c>
      <c r="U220" s="1">
        <v>2.0</v>
      </c>
      <c r="V220" s="1">
        <v>4.0</v>
      </c>
      <c r="W220" s="1">
        <v>3.0</v>
      </c>
      <c r="X220" s="1">
        <v>5.0</v>
      </c>
      <c r="Y220" s="1">
        <v>2.0</v>
      </c>
      <c r="Z220" s="1">
        <v>4.0</v>
      </c>
      <c r="AA220" s="1">
        <v>5.0</v>
      </c>
      <c r="AB220" s="1">
        <v>5.0</v>
      </c>
      <c r="AC220" s="1">
        <v>5.0</v>
      </c>
      <c r="AD220" s="1">
        <v>5.0</v>
      </c>
      <c r="AE220" s="1">
        <v>2.0</v>
      </c>
      <c r="AF220" s="1">
        <v>5.0</v>
      </c>
      <c r="AG220" s="1">
        <v>5.0</v>
      </c>
      <c r="AH220" s="1">
        <v>5.0</v>
      </c>
      <c r="AI220" s="1">
        <v>5.0</v>
      </c>
      <c r="AJ220" s="1">
        <v>2.0</v>
      </c>
      <c r="AK220" s="1">
        <v>2.0</v>
      </c>
      <c r="AL220" s="1">
        <v>5.0</v>
      </c>
      <c r="AM220" s="1">
        <v>2.0</v>
      </c>
      <c r="AN220" s="1">
        <v>5.0</v>
      </c>
      <c r="AO220" s="1">
        <v>5.0</v>
      </c>
      <c r="AP220" s="1">
        <v>5.0</v>
      </c>
      <c r="AQ220" s="1">
        <v>5.0</v>
      </c>
      <c r="AR220" s="1">
        <v>2.0</v>
      </c>
      <c r="AS220" s="1">
        <v>2.0</v>
      </c>
      <c r="AT220" s="1">
        <v>2.0</v>
      </c>
      <c r="AU220" s="1">
        <v>5.0</v>
      </c>
      <c r="AV220" s="1">
        <v>2.0</v>
      </c>
      <c r="AW220" s="1">
        <v>5.0</v>
      </c>
      <c r="AX220" s="1">
        <v>2.0</v>
      </c>
      <c r="AY220" s="1">
        <v>5.0</v>
      </c>
      <c r="AZ220" s="1">
        <v>5.0</v>
      </c>
      <c r="BA220" s="1">
        <v>5.0</v>
      </c>
      <c r="BB220" s="1">
        <v>5.0</v>
      </c>
      <c r="BC220" s="1">
        <v>4.0</v>
      </c>
      <c r="BD220" s="1">
        <v>5.0</v>
      </c>
      <c r="BE220" s="1">
        <v>5.0</v>
      </c>
      <c r="BF220" s="1">
        <v>5.0</v>
      </c>
      <c r="BG220" s="1">
        <v>5.0</v>
      </c>
      <c r="BH220" s="1">
        <v>5.0</v>
      </c>
      <c r="BI220" s="1">
        <v>5.0</v>
      </c>
      <c r="BJ220" s="1">
        <v>2.0</v>
      </c>
      <c r="BK220" s="1">
        <v>5.0</v>
      </c>
      <c r="BL220" s="1">
        <v>5.0</v>
      </c>
      <c r="BM220" s="1">
        <v>5.0</v>
      </c>
      <c r="BN220" s="1">
        <v>5.0</v>
      </c>
      <c r="BO220" s="1">
        <v>5.0</v>
      </c>
      <c r="BP220" s="1">
        <v>5.0</v>
      </c>
      <c r="BQ220" s="1">
        <v>5.0</v>
      </c>
      <c r="BR220" s="1">
        <v>5.0</v>
      </c>
      <c r="BS220" s="1">
        <v>5.0</v>
      </c>
      <c r="BT220" s="1">
        <v>5.0</v>
      </c>
      <c r="BU220" s="1">
        <v>2.0</v>
      </c>
      <c r="BV220" s="1">
        <v>5.0</v>
      </c>
      <c r="BW220" s="1">
        <v>2.0</v>
      </c>
      <c r="BX220" s="1">
        <v>2.0</v>
      </c>
      <c r="BY220" s="1">
        <v>2.0</v>
      </c>
      <c r="BZ220" s="1">
        <v>2.0</v>
      </c>
    </row>
    <row r="221">
      <c r="A221" s="19">
        <v>46287.40500966435</v>
      </c>
      <c r="B221" s="1" t="s">
        <v>162</v>
      </c>
      <c r="C221" s="1" t="s">
        <v>1075</v>
      </c>
      <c r="D221" s="1">
        <v>2026.0</v>
      </c>
      <c r="E221" s="1" t="s">
        <v>365</v>
      </c>
      <c r="F221" s="1" t="s">
        <v>1076</v>
      </c>
      <c r="G221" s="1">
        <v>4.0</v>
      </c>
      <c r="H221" s="1">
        <v>4.0</v>
      </c>
      <c r="I221" s="1">
        <v>3.0</v>
      </c>
      <c r="J221" s="1">
        <v>3.0</v>
      </c>
      <c r="K221" s="1">
        <v>3.0</v>
      </c>
      <c r="L221" s="1">
        <v>3.0</v>
      </c>
      <c r="M221" s="1">
        <v>4.0</v>
      </c>
      <c r="N221" s="1">
        <v>3.0</v>
      </c>
      <c r="O221" s="1">
        <v>3.0</v>
      </c>
      <c r="P221" s="1">
        <v>3.0</v>
      </c>
      <c r="Q221" s="1">
        <v>2.0</v>
      </c>
      <c r="R221" s="1">
        <v>4.0</v>
      </c>
      <c r="S221" s="1">
        <v>3.0</v>
      </c>
      <c r="T221" s="1">
        <v>2.0</v>
      </c>
      <c r="U221" s="1">
        <v>2.0</v>
      </c>
      <c r="V221" s="1">
        <v>3.0</v>
      </c>
      <c r="W221" s="1">
        <v>3.0</v>
      </c>
      <c r="X221" s="1">
        <v>3.0</v>
      </c>
      <c r="Y221" s="1">
        <v>4.0</v>
      </c>
      <c r="Z221" s="1">
        <v>4.0</v>
      </c>
      <c r="AA221" s="1">
        <v>4.0</v>
      </c>
      <c r="AB221" s="1">
        <v>3.0</v>
      </c>
      <c r="AC221" s="1">
        <v>3.0</v>
      </c>
      <c r="AD221" s="1">
        <v>3.0</v>
      </c>
      <c r="AE221" s="1">
        <v>4.0</v>
      </c>
      <c r="AF221" s="1">
        <v>3.0</v>
      </c>
      <c r="AG221" s="1">
        <v>3.0</v>
      </c>
      <c r="AH221" s="1">
        <v>3.0</v>
      </c>
      <c r="AI221" s="1">
        <v>3.0</v>
      </c>
      <c r="AJ221" s="1">
        <v>3.0</v>
      </c>
      <c r="AK221" s="1">
        <v>4.0</v>
      </c>
      <c r="AL221" s="1">
        <v>3.0</v>
      </c>
      <c r="AM221" s="1">
        <v>3.0</v>
      </c>
      <c r="AN221" s="1">
        <v>3.0</v>
      </c>
      <c r="AO221" s="1">
        <v>3.0</v>
      </c>
      <c r="AP221" s="1">
        <v>2.0</v>
      </c>
      <c r="AQ221" s="1">
        <v>3.0</v>
      </c>
      <c r="AR221" s="1">
        <v>4.0</v>
      </c>
      <c r="AS221" s="1">
        <v>2.0</v>
      </c>
      <c r="AT221" s="1">
        <v>2.0</v>
      </c>
      <c r="AU221" s="1">
        <v>3.0</v>
      </c>
      <c r="AV221" s="1">
        <v>4.0</v>
      </c>
      <c r="AW221" s="1">
        <v>4.0</v>
      </c>
      <c r="AX221" s="1">
        <v>3.0</v>
      </c>
      <c r="AY221" s="1">
        <v>3.0</v>
      </c>
      <c r="AZ221" s="1">
        <v>4.0</v>
      </c>
      <c r="BA221" s="1">
        <v>3.0</v>
      </c>
      <c r="BB221" s="1">
        <v>4.0</v>
      </c>
      <c r="BC221" s="1">
        <v>2.0</v>
      </c>
      <c r="BD221" s="1">
        <v>3.0</v>
      </c>
      <c r="BE221" s="1">
        <v>2.0</v>
      </c>
      <c r="BF221" s="1">
        <v>3.0</v>
      </c>
      <c r="BG221" s="1">
        <v>3.0</v>
      </c>
      <c r="BH221" s="1">
        <v>3.0</v>
      </c>
      <c r="BI221" s="1">
        <v>4.0</v>
      </c>
      <c r="BJ221" s="1">
        <v>3.0</v>
      </c>
      <c r="BK221" s="1">
        <v>3.0</v>
      </c>
      <c r="BL221" s="1">
        <v>3.0</v>
      </c>
      <c r="BM221" s="1">
        <v>3.0</v>
      </c>
      <c r="BN221" s="1">
        <v>3.0</v>
      </c>
      <c r="BO221" s="1">
        <v>4.0</v>
      </c>
      <c r="BP221" s="1">
        <v>3.0</v>
      </c>
      <c r="BQ221" s="1">
        <v>3.0</v>
      </c>
      <c r="BR221" s="1">
        <v>4.0</v>
      </c>
      <c r="BS221" s="1">
        <v>3.0</v>
      </c>
      <c r="BT221" s="1">
        <v>3.0</v>
      </c>
      <c r="BU221" s="1">
        <v>3.0</v>
      </c>
      <c r="BV221" s="1">
        <v>3.0</v>
      </c>
      <c r="BW221" s="1">
        <v>4.0</v>
      </c>
      <c r="BX221" s="1">
        <v>3.0</v>
      </c>
      <c r="BY221" s="1">
        <v>2.0</v>
      </c>
      <c r="BZ221" s="1">
        <v>3.0</v>
      </c>
    </row>
    <row r="222">
      <c r="A222" s="19">
        <v>46287.40517734954</v>
      </c>
      <c r="B222" s="1" t="s">
        <v>162</v>
      </c>
      <c r="C222" s="1" t="s">
        <v>1077</v>
      </c>
      <c r="D222" s="1">
        <v>2025.0</v>
      </c>
      <c r="E222" s="1" t="s">
        <v>374</v>
      </c>
      <c r="F222" s="1" t="s">
        <v>1078</v>
      </c>
      <c r="G222" s="1">
        <v>1.0</v>
      </c>
      <c r="H222" s="1">
        <v>2.0</v>
      </c>
      <c r="I222" s="1">
        <v>2.0</v>
      </c>
      <c r="J222" s="1">
        <v>5.0</v>
      </c>
      <c r="K222" s="1">
        <v>4.0</v>
      </c>
      <c r="L222" s="1">
        <v>5.0</v>
      </c>
      <c r="M222" s="1">
        <v>2.0</v>
      </c>
      <c r="N222" s="1">
        <v>4.0</v>
      </c>
      <c r="O222" s="1">
        <v>3.0</v>
      </c>
      <c r="P222" s="1">
        <v>5.0</v>
      </c>
      <c r="Q222" s="1">
        <v>2.0</v>
      </c>
      <c r="R222" s="1">
        <v>4.0</v>
      </c>
      <c r="S222" s="1">
        <v>1.0</v>
      </c>
      <c r="T222" s="1">
        <v>5.0</v>
      </c>
      <c r="U222" s="1">
        <v>3.0</v>
      </c>
      <c r="V222" s="1">
        <v>5.0</v>
      </c>
      <c r="W222" s="1">
        <v>4.0</v>
      </c>
      <c r="X222" s="1">
        <v>2.0</v>
      </c>
      <c r="Y222" s="1">
        <v>1.0</v>
      </c>
      <c r="Z222" s="1">
        <v>2.0</v>
      </c>
      <c r="AA222" s="1">
        <v>5.0</v>
      </c>
      <c r="AB222" s="1">
        <v>5.0</v>
      </c>
      <c r="AC222" s="1">
        <v>5.0</v>
      </c>
      <c r="AD222" s="1">
        <v>4.0</v>
      </c>
      <c r="AE222" s="1">
        <v>1.0</v>
      </c>
      <c r="AF222" s="1">
        <v>4.0</v>
      </c>
      <c r="AG222" s="1">
        <v>3.0</v>
      </c>
      <c r="AH222" s="1">
        <v>5.0</v>
      </c>
      <c r="AI222" s="1">
        <v>3.0</v>
      </c>
      <c r="AJ222" s="1">
        <v>5.0</v>
      </c>
      <c r="AK222" s="1">
        <v>2.0</v>
      </c>
      <c r="AL222" s="1">
        <v>4.0</v>
      </c>
      <c r="AM222" s="1">
        <v>2.0</v>
      </c>
      <c r="AN222" s="1">
        <v>4.0</v>
      </c>
      <c r="AO222" s="1">
        <v>5.0</v>
      </c>
      <c r="AP222" s="1">
        <v>3.0</v>
      </c>
      <c r="AQ222" s="1">
        <v>1.0</v>
      </c>
      <c r="AR222" s="1">
        <v>1.0</v>
      </c>
      <c r="AS222" s="1">
        <v>5.0</v>
      </c>
      <c r="AT222" s="1">
        <v>5.0</v>
      </c>
      <c r="AU222" s="1">
        <v>5.0</v>
      </c>
      <c r="AV222" s="1">
        <v>5.0</v>
      </c>
      <c r="AW222" s="1">
        <v>2.0</v>
      </c>
      <c r="AX222" s="1">
        <v>5.0</v>
      </c>
      <c r="AY222" s="1">
        <v>4.0</v>
      </c>
      <c r="AZ222" s="1">
        <v>4.0</v>
      </c>
      <c r="BA222" s="1">
        <v>5.0</v>
      </c>
      <c r="BB222" s="1">
        <v>5.0</v>
      </c>
      <c r="BC222" s="1">
        <v>4.0</v>
      </c>
      <c r="BD222" s="1">
        <v>3.0</v>
      </c>
      <c r="BE222" s="1">
        <v>2.0</v>
      </c>
      <c r="BF222" s="1">
        <v>5.0</v>
      </c>
      <c r="BG222" s="1">
        <v>4.0</v>
      </c>
      <c r="BH222" s="1">
        <v>5.0</v>
      </c>
      <c r="BI222" s="1">
        <v>5.0</v>
      </c>
      <c r="BJ222" s="1">
        <v>3.0</v>
      </c>
      <c r="BK222" s="1">
        <v>4.0</v>
      </c>
      <c r="BL222" s="1">
        <v>4.0</v>
      </c>
      <c r="BM222" s="1">
        <v>5.0</v>
      </c>
      <c r="BN222" s="1">
        <v>5.0</v>
      </c>
      <c r="BO222" s="1">
        <v>4.0</v>
      </c>
      <c r="BP222" s="1">
        <v>2.0</v>
      </c>
      <c r="BQ222" s="1">
        <v>3.0</v>
      </c>
      <c r="BR222" s="1">
        <v>5.0</v>
      </c>
      <c r="BS222" s="1">
        <v>4.0</v>
      </c>
      <c r="BT222" s="1">
        <v>5.0</v>
      </c>
      <c r="BU222" s="1">
        <v>3.0</v>
      </c>
      <c r="BV222" s="1">
        <v>4.0</v>
      </c>
      <c r="BW222" s="1">
        <v>4.0</v>
      </c>
      <c r="BX222" s="1">
        <v>4.0</v>
      </c>
      <c r="BY222" s="1">
        <v>5.0</v>
      </c>
      <c r="BZ222" s="1">
        <v>3.0</v>
      </c>
    </row>
    <row r="223">
      <c r="A223" s="19">
        <v>46287.4051777662</v>
      </c>
      <c r="B223" s="1" t="s">
        <v>162</v>
      </c>
      <c r="C223" s="1" t="s">
        <v>1082</v>
      </c>
      <c r="D223" s="1">
        <v>2025.0</v>
      </c>
      <c r="E223" s="1" t="s">
        <v>340</v>
      </c>
      <c r="F223" s="1" t="s">
        <v>1083</v>
      </c>
      <c r="G223" s="1">
        <v>4.0</v>
      </c>
      <c r="H223" s="1">
        <v>3.0</v>
      </c>
      <c r="I223" s="1">
        <v>3.0</v>
      </c>
      <c r="J223" s="1">
        <v>3.0</v>
      </c>
      <c r="K223" s="1">
        <v>4.0</v>
      </c>
      <c r="L223" s="1">
        <v>5.0</v>
      </c>
      <c r="M223" s="1">
        <v>4.0</v>
      </c>
      <c r="N223" s="1">
        <v>4.0</v>
      </c>
      <c r="O223" s="1">
        <v>2.0</v>
      </c>
      <c r="P223" s="1">
        <v>2.0</v>
      </c>
      <c r="Q223" s="1">
        <v>5.0</v>
      </c>
      <c r="R223" s="1">
        <v>5.0</v>
      </c>
      <c r="S223" s="1">
        <v>3.0</v>
      </c>
      <c r="T223" s="1">
        <v>3.0</v>
      </c>
      <c r="U223" s="1">
        <v>4.0</v>
      </c>
      <c r="V223" s="1">
        <v>4.0</v>
      </c>
      <c r="W223" s="1">
        <v>4.0</v>
      </c>
      <c r="X223" s="1">
        <v>4.0</v>
      </c>
      <c r="Y223" s="1">
        <v>4.0</v>
      </c>
      <c r="Z223" s="1">
        <v>4.0</v>
      </c>
      <c r="AA223" s="1">
        <v>2.0</v>
      </c>
      <c r="AB223" s="1">
        <v>3.0</v>
      </c>
      <c r="AC223" s="1">
        <v>3.0</v>
      </c>
      <c r="AD223" s="1">
        <v>5.0</v>
      </c>
      <c r="AE223" s="1">
        <v>4.0</v>
      </c>
      <c r="AF223" s="1">
        <v>3.0</v>
      </c>
      <c r="AG223" s="1">
        <v>2.0</v>
      </c>
      <c r="AH223" s="1">
        <v>4.0</v>
      </c>
      <c r="AI223" s="1">
        <v>4.0</v>
      </c>
      <c r="AJ223" s="1">
        <v>5.0</v>
      </c>
      <c r="AK223" s="1">
        <v>5.0</v>
      </c>
      <c r="AL223" s="1">
        <v>4.0</v>
      </c>
      <c r="AM223" s="1">
        <v>2.0</v>
      </c>
      <c r="AN223" s="1">
        <v>4.0</v>
      </c>
      <c r="AO223" s="1">
        <v>5.0</v>
      </c>
      <c r="AP223" s="1">
        <v>5.0</v>
      </c>
      <c r="AQ223" s="1">
        <v>2.0</v>
      </c>
      <c r="AR223" s="1">
        <v>3.0</v>
      </c>
      <c r="AS223" s="1">
        <v>2.0</v>
      </c>
      <c r="AT223" s="1">
        <v>3.0</v>
      </c>
      <c r="AU223" s="1">
        <v>3.0</v>
      </c>
      <c r="AV223" s="1">
        <v>5.0</v>
      </c>
      <c r="AW223" s="1">
        <v>3.0</v>
      </c>
      <c r="AX223" s="1">
        <v>3.0</v>
      </c>
      <c r="AY223" s="1">
        <v>1.0</v>
      </c>
      <c r="AZ223" s="1">
        <v>3.0</v>
      </c>
      <c r="BA223" s="1">
        <v>2.0</v>
      </c>
      <c r="BB223" s="1">
        <v>5.0</v>
      </c>
      <c r="BC223" s="1">
        <v>4.0</v>
      </c>
      <c r="BD223" s="1">
        <v>3.0</v>
      </c>
      <c r="BE223" s="1">
        <v>2.0</v>
      </c>
      <c r="BF223" s="1">
        <v>3.0</v>
      </c>
      <c r="BG223" s="1">
        <v>3.0</v>
      </c>
      <c r="BH223" s="1">
        <v>5.0</v>
      </c>
      <c r="BI223" s="1">
        <v>5.0</v>
      </c>
      <c r="BJ223" s="1">
        <v>2.0</v>
      </c>
      <c r="BK223" s="1">
        <v>1.0</v>
      </c>
      <c r="BL223" s="1">
        <v>3.0</v>
      </c>
      <c r="BM223" s="1">
        <v>4.0</v>
      </c>
      <c r="BN223" s="1">
        <v>5.0</v>
      </c>
      <c r="BO223" s="1">
        <v>4.0</v>
      </c>
      <c r="BP223" s="1">
        <v>3.0</v>
      </c>
      <c r="BQ223" s="1">
        <v>5.0</v>
      </c>
      <c r="BR223" s="1">
        <v>5.0</v>
      </c>
      <c r="BS223" s="1">
        <v>4.0</v>
      </c>
      <c r="BT223" s="1">
        <v>5.0</v>
      </c>
      <c r="BU223" s="1">
        <v>5.0</v>
      </c>
      <c r="BV223" s="1">
        <v>4.0</v>
      </c>
      <c r="BW223" s="1">
        <v>4.0</v>
      </c>
      <c r="BX223" s="1">
        <v>3.0</v>
      </c>
      <c r="BY223" s="1">
        <v>5.0</v>
      </c>
      <c r="BZ223" s="1">
        <v>5.0</v>
      </c>
    </row>
    <row r="224">
      <c r="A224" s="19">
        <v>46287.40518891204</v>
      </c>
      <c r="B224" s="1" t="s">
        <v>162</v>
      </c>
      <c r="C224" s="1" t="s">
        <v>1087</v>
      </c>
      <c r="D224" s="1">
        <v>2026.0</v>
      </c>
      <c r="E224" s="1" t="s">
        <v>356</v>
      </c>
      <c r="F224" s="1" t="s">
        <v>1088</v>
      </c>
      <c r="G224" s="1">
        <v>3.0</v>
      </c>
      <c r="H224" s="1">
        <v>2.0</v>
      </c>
      <c r="I224" s="1">
        <v>1.0</v>
      </c>
      <c r="J224" s="1">
        <v>4.0</v>
      </c>
      <c r="K224" s="1">
        <v>4.0</v>
      </c>
      <c r="L224" s="1">
        <v>3.0</v>
      </c>
      <c r="M224" s="1">
        <v>1.0</v>
      </c>
      <c r="N224" s="1">
        <v>4.0</v>
      </c>
      <c r="O224" s="1">
        <v>2.0</v>
      </c>
      <c r="P224" s="1">
        <v>3.0</v>
      </c>
      <c r="Q224" s="1">
        <v>3.0</v>
      </c>
      <c r="R224" s="1">
        <v>5.0</v>
      </c>
      <c r="S224" s="1">
        <v>2.0</v>
      </c>
      <c r="T224" s="1">
        <v>3.0</v>
      </c>
      <c r="U224" s="1">
        <v>1.0</v>
      </c>
      <c r="V224" s="1">
        <v>2.0</v>
      </c>
      <c r="W224" s="1">
        <v>4.0</v>
      </c>
      <c r="X224" s="1">
        <v>4.0</v>
      </c>
      <c r="Y224" s="1">
        <v>2.0</v>
      </c>
      <c r="Z224" s="1">
        <v>3.0</v>
      </c>
      <c r="AA224" s="1">
        <v>2.0</v>
      </c>
      <c r="AB224" s="1">
        <v>5.0</v>
      </c>
      <c r="AC224" s="1">
        <v>4.0</v>
      </c>
      <c r="AD224" s="1">
        <v>4.0</v>
      </c>
      <c r="AE224" s="1">
        <v>2.0</v>
      </c>
      <c r="AF224" s="1">
        <v>1.0</v>
      </c>
      <c r="AG224" s="1">
        <v>2.0</v>
      </c>
      <c r="AH224" s="1">
        <v>5.0</v>
      </c>
      <c r="AI224" s="1">
        <v>4.0</v>
      </c>
      <c r="AJ224" s="1">
        <v>5.0</v>
      </c>
      <c r="AK224" s="1">
        <v>5.0</v>
      </c>
      <c r="AL224" s="1">
        <v>4.0</v>
      </c>
      <c r="AM224" s="1">
        <v>1.0</v>
      </c>
      <c r="AN224" s="1">
        <v>5.0</v>
      </c>
      <c r="AO224" s="1">
        <v>5.0</v>
      </c>
      <c r="AP224" s="1">
        <v>3.0</v>
      </c>
      <c r="AQ224" s="1">
        <v>2.0</v>
      </c>
      <c r="AR224" s="1">
        <v>2.0</v>
      </c>
      <c r="AS224" s="1">
        <v>4.0</v>
      </c>
      <c r="AT224" s="1">
        <v>4.0</v>
      </c>
      <c r="AU224" s="1">
        <v>4.0</v>
      </c>
      <c r="AV224" s="1">
        <v>4.0</v>
      </c>
      <c r="AW224" s="1">
        <v>1.0</v>
      </c>
      <c r="AX224" s="1">
        <v>3.0</v>
      </c>
      <c r="AY224" s="1">
        <v>2.0</v>
      </c>
      <c r="AZ224" s="1">
        <v>5.0</v>
      </c>
      <c r="BA224" s="1">
        <v>3.0</v>
      </c>
      <c r="BB224" s="1">
        <v>5.0</v>
      </c>
      <c r="BC224" s="1">
        <v>4.0</v>
      </c>
      <c r="BD224" s="1">
        <v>5.0</v>
      </c>
      <c r="BE224" s="1">
        <v>1.0</v>
      </c>
      <c r="BF224" s="1">
        <v>4.0</v>
      </c>
      <c r="BG224" s="1">
        <v>4.0</v>
      </c>
      <c r="BH224" s="1">
        <v>5.0</v>
      </c>
      <c r="BI224" s="1">
        <v>4.0</v>
      </c>
      <c r="BJ224" s="1">
        <v>3.0</v>
      </c>
      <c r="BK224" s="1">
        <v>3.0</v>
      </c>
      <c r="BL224" s="1">
        <v>3.0</v>
      </c>
      <c r="BM224" s="1">
        <v>3.0</v>
      </c>
      <c r="BN224" s="1">
        <v>3.0</v>
      </c>
      <c r="BO224" s="1">
        <v>3.0</v>
      </c>
      <c r="BP224" s="1">
        <v>3.0</v>
      </c>
      <c r="BQ224" s="1">
        <v>3.0</v>
      </c>
      <c r="BR224" s="1">
        <v>3.0</v>
      </c>
      <c r="BS224" s="1">
        <v>3.0</v>
      </c>
      <c r="BT224" s="1">
        <v>3.0</v>
      </c>
      <c r="BU224" s="1">
        <v>3.0</v>
      </c>
      <c r="BV224" s="1">
        <v>3.0</v>
      </c>
      <c r="BW224" s="1">
        <v>3.0</v>
      </c>
      <c r="BX224" s="1">
        <v>3.0</v>
      </c>
      <c r="BY224" s="1">
        <v>3.0</v>
      </c>
      <c r="BZ224" s="1">
        <v>3.0</v>
      </c>
    </row>
    <row r="225">
      <c r="A225" s="19">
        <v>46287.40530082176</v>
      </c>
      <c r="B225" s="1" t="s">
        <v>162</v>
      </c>
      <c r="C225" s="1" t="s">
        <v>1089</v>
      </c>
      <c r="D225" s="1">
        <v>2025.0</v>
      </c>
      <c r="E225" s="1" t="s">
        <v>219</v>
      </c>
      <c r="F225" s="1" t="s">
        <v>1090</v>
      </c>
      <c r="G225" s="1">
        <v>3.0</v>
      </c>
      <c r="H225" s="1">
        <v>3.0</v>
      </c>
      <c r="I225" s="1">
        <v>3.0</v>
      </c>
      <c r="J225" s="1">
        <v>4.0</v>
      </c>
      <c r="K225" s="1">
        <v>4.0</v>
      </c>
      <c r="L225" s="1">
        <v>3.0</v>
      </c>
      <c r="M225" s="1">
        <v>3.0</v>
      </c>
      <c r="N225" s="1">
        <v>3.0</v>
      </c>
      <c r="O225" s="1">
        <v>2.0</v>
      </c>
      <c r="P225" s="1">
        <v>3.0</v>
      </c>
      <c r="Q225" s="1">
        <v>2.0</v>
      </c>
      <c r="R225" s="1">
        <v>3.0</v>
      </c>
      <c r="S225" s="1">
        <v>4.0</v>
      </c>
      <c r="T225" s="1">
        <v>3.0</v>
      </c>
      <c r="U225" s="1">
        <v>1.0</v>
      </c>
      <c r="V225" s="1">
        <v>3.0</v>
      </c>
      <c r="W225" s="1">
        <v>3.0</v>
      </c>
      <c r="X225" s="1">
        <v>2.0</v>
      </c>
      <c r="Y225" s="1">
        <v>2.0</v>
      </c>
      <c r="Z225" s="1">
        <v>4.0</v>
      </c>
      <c r="AA225" s="1">
        <v>3.0</v>
      </c>
      <c r="AB225" s="1">
        <v>4.0</v>
      </c>
      <c r="AC225" s="1">
        <v>4.0</v>
      </c>
      <c r="AD225" s="1">
        <v>3.0</v>
      </c>
      <c r="AE225" s="1">
        <v>3.0</v>
      </c>
      <c r="AF225" s="1">
        <v>3.0</v>
      </c>
      <c r="AG225" s="1">
        <v>2.0</v>
      </c>
      <c r="AH225" s="1">
        <v>4.0</v>
      </c>
      <c r="AI225" s="1">
        <v>4.0</v>
      </c>
      <c r="AJ225" s="1">
        <v>3.0</v>
      </c>
      <c r="AK225" s="1">
        <v>3.0</v>
      </c>
      <c r="AL225" s="1">
        <v>2.0</v>
      </c>
      <c r="AM225" s="1">
        <v>1.0</v>
      </c>
      <c r="AN225" s="1">
        <v>4.0</v>
      </c>
      <c r="AO225" s="1">
        <v>3.0</v>
      </c>
      <c r="AP225" s="1">
        <v>2.0</v>
      </c>
      <c r="AQ225" s="1">
        <v>4.0</v>
      </c>
      <c r="AR225" s="1">
        <v>3.0</v>
      </c>
      <c r="AS225" s="1">
        <v>2.0</v>
      </c>
      <c r="AT225" s="1">
        <v>4.0</v>
      </c>
      <c r="AU225" s="1">
        <v>4.0</v>
      </c>
      <c r="AV225" s="1">
        <v>4.0</v>
      </c>
      <c r="AW225" s="1">
        <v>3.0</v>
      </c>
      <c r="AX225" s="1">
        <v>3.0</v>
      </c>
      <c r="AY225" s="1">
        <v>3.0</v>
      </c>
      <c r="AZ225" s="1">
        <v>4.0</v>
      </c>
      <c r="BA225" s="1">
        <v>3.0</v>
      </c>
      <c r="BB225" s="1">
        <v>4.0</v>
      </c>
      <c r="BC225" s="1">
        <v>4.0</v>
      </c>
      <c r="BD225" s="1">
        <v>4.0</v>
      </c>
      <c r="BE225" s="1">
        <v>1.0</v>
      </c>
      <c r="BF225" s="1">
        <v>4.0</v>
      </c>
      <c r="BG225" s="1">
        <v>3.0</v>
      </c>
      <c r="BH225" s="1">
        <v>3.0</v>
      </c>
      <c r="BI225" s="1">
        <v>3.0</v>
      </c>
      <c r="BJ225" s="1">
        <v>3.0</v>
      </c>
      <c r="BK225" s="1">
        <v>2.0</v>
      </c>
      <c r="BL225" s="1">
        <v>3.0</v>
      </c>
      <c r="BM225" s="1">
        <v>4.0</v>
      </c>
      <c r="BN225" s="1">
        <v>3.0</v>
      </c>
      <c r="BO225" s="1">
        <v>4.0</v>
      </c>
      <c r="BP225" s="1">
        <v>4.0</v>
      </c>
      <c r="BQ225" s="1">
        <v>3.0</v>
      </c>
      <c r="BR225" s="1">
        <v>3.0</v>
      </c>
      <c r="BS225" s="1">
        <v>3.0</v>
      </c>
      <c r="BT225" s="1">
        <v>2.0</v>
      </c>
      <c r="BU225" s="1">
        <v>2.0</v>
      </c>
      <c r="BV225" s="1">
        <v>3.0</v>
      </c>
      <c r="BW225" s="1">
        <v>2.0</v>
      </c>
      <c r="BX225" s="1">
        <v>3.0</v>
      </c>
      <c r="BY225" s="1">
        <v>2.0</v>
      </c>
      <c r="BZ225" s="1">
        <v>4.0</v>
      </c>
    </row>
    <row r="226">
      <c r="A226" s="19">
        <v>46287.40545077546</v>
      </c>
      <c r="B226" s="1" t="s">
        <v>162</v>
      </c>
      <c r="C226" s="1" t="s">
        <v>1091</v>
      </c>
      <c r="D226" s="1">
        <v>2025.0</v>
      </c>
      <c r="E226" s="1" t="s">
        <v>173</v>
      </c>
      <c r="F226" s="1" t="s">
        <v>1092</v>
      </c>
      <c r="G226" s="1">
        <v>5.0</v>
      </c>
      <c r="H226" s="1">
        <v>5.0</v>
      </c>
      <c r="I226" s="1">
        <v>3.0</v>
      </c>
      <c r="J226" s="1">
        <v>5.0</v>
      </c>
      <c r="K226" s="1">
        <v>5.0</v>
      </c>
      <c r="L226" s="1">
        <v>4.0</v>
      </c>
      <c r="M226" s="1">
        <v>5.0</v>
      </c>
      <c r="N226" s="1">
        <v>5.0</v>
      </c>
      <c r="O226" s="1">
        <v>5.0</v>
      </c>
      <c r="P226" s="1">
        <v>5.0</v>
      </c>
      <c r="Q226" s="1">
        <v>5.0</v>
      </c>
      <c r="R226" s="1">
        <v>5.0</v>
      </c>
      <c r="S226" s="1">
        <v>4.0</v>
      </c>
      <c r="T226" s="1">
        <v>4.0</v>
      </c>
      <c r="U226" s="1">
        <v>2.0</v>
      </c>
      <c r="V226" s="1">
        <v>5.0</v>
      </c>
      <c r="W226" s="1">
        <v>5.0</v>
      </c>
      <c r="X226" s="1">
        <v>3.0</v>
      </c>
      <c r="Y226" s="1">
        <v>5.0</v>
      </c>
      <c r="Z226" s="1">
        <v>5.0</v>
      </c>
      <c r="AA226" s="1">
        <v>5.0</v>
      </c>
      <c r="AB226" s="1">
        <v>5.0</v>
      </c>
      <c r="AC226" s="1">
        <v>5.0</v>
      </c>
      <c r="AD226" s="1">
        <v>4.0</v>
      </c>
      <c r="AE226" s="1">
        <v>5.0</v>
      </c>
      <c r="AF226" s="1">
        <v>4.0</v>
      </c>
      <c r="AG226" s="1">
        <v>4.0</v>
      </c>
      <c r="AH226" s="1">
        <v>5.0</v>
      </c>
      <c r="AI226" s="1">
        <v>4.0</v>
      </c>
      <c r="AJ226" s="1">
        <v>5.0</v>
      </c>
      <c r="AK226" s="1">
        <v>5.0</v>
      </c>
      <c r="AL226" s="1">
        <v>4.0</v>
      </c>
      <c r="AM226" s="1">
        <v>2.0</v>
      </c>
      <c r="AN226" s="1">
        <v>5.0</v>
      </c>
      <c r="AO226" s="1">
        <v>3.0</v>
      </c>
      <c r="AP226" s="1">
        <v>4.0</v>
      </c>
      <c r="AQ226" s="1">
        <v>3.0</v>
      </c>
      <c r="AR226" s="1">
        <v>5.0</v>
      </c>
      <c r="AS226" s="1">
        <v>3.0</v>
      </c>
      <c r="AT226" s="1">
        <v>5.0</v>
      </c>
      <c r="AU226" s="1">
        <v>3.0</v>
      </c>
      <c r="AV226" s="1">
        <v>5.0</v>
      </c>
      <c r="AW226" s="1">
        <v>5.0</v>
      </c>
      <c r="AX226" s="1">
        <v>4.0</v>
      </c>
      <c r="AY226" s="1">
        <v>3.0</v>
      </c>
      <c r="AZ226" s="1">
        <v>5.0</v>
      </c>
      <c r="BA226" s="1">
        <v>4.0</v>
      </c>
      <c r="BB226" s="1">
        <v>4.0</v>
      </c>
      <c r="BC226" s="1">
        <v>4.0</v>
      </c>
      <c r="BD226" s="1">
        <v>4.0</v>
      </c>
      <c r="BE226" s="1">
        <v>2.0</v>
      </c>
      <c r="BF226" s="1">
        <v>5.0</v>
      </c>
      <c r="BG226" s="1">
        <v>5.0</v>
      </c>
      <c r="BH226" s="1">
        <v>5.0</v>
      </c>
      <c r="BI226" s="1">
        <v>5.0</v>
      </c>
      <c r="BJ226" s="1">
        <v>4.0</v>
      </c>
      <c r="BK226" s="1">
        <v>4.0</v>
      </c>
      <c r="BL226" s="1">
        <v>5.0</v>
      </c>
      <c r="BM226" s="1">
        <v>5.0</v>
      </c>
      <c r="BN226" s="1">
        <v>5.0</v>
      </c>
      <c r="BO226" s="1">
        <v>5.0</v>
      </c>
      <c r="BP226" s="1">
        <v>5.0</v>
      </c>
      <c r="BQ226" s="1">
        <v>5.0</v>
      </c>
      <c r="BR226" s="1">
        <v>5.0</v>
      </c>
      <c r="BS226" s="1">
        <v>5.0</v>
      </c>
      <c r="BT226" s="1">
        <v>5.0</v>
      </c>
      <c r="BU226" s="1">
        <v>5.0</v>
      </c>
      <c r="BV226" s="1">
        <v>5.0</v>
      </c>
      <c r="BW226" s="1">
        <v>5.0</v>
      </c>
      <c r="BX226" s="1">
        <v>5.0</v>
      </c>
      <c r="BY226" s="1">
        <v>4.0</v>
      </c>
      <c r="BZ226" s="1">
        <v>3.0</v>
      </c>
    </row>
    <row r="227">
      <c r="A227" s="19">
        <v>46287.40547896991</v>
      </c>
      <c r="B227" s="1" t="s">
        <v>162</v>
      </c>
      <c r="C227" s="1" t="s">
        <v>1096</v>
      </c>
      <c r="D227" s="1">
        <v>2025.0</v>
      </c>
      <c r="E227" s="1" t="s">
        <v>356</v>
      </c>
      <c r="F227" s="1" t="s">
        <v>1097</v>
      </c>
      <c r="G227" s="1">
        <v>3.0</v>
      </c>
      <c r="H227" s="1">
        <v>1.0</v>
      </c>
      <c r="I227" s="1">
        <v>4.0</v>
      </c>
      <c r="J227" s="1">
        <v>4.0</v>
      </c>
      <c r="K227" s="1">
        <v>3.0</v>
      </c>
      <c r="L227" s="1">
        <v>4.0</v>
      </c>
      <c r="M227" s="1">
        <v>3.0</v>
      </c>
      <c r="N227" s="1">
        <v>2.0</v>
      </c>
      <c r="O227" s="1">
        <v>4.0</v>
      </c>
      <c r="P227" s="1">
        <v>3.0</v>
      </c>
      <c r="Q227" s="1">
        <v>2.0</v>
      </c>
      <c r="R227" s="1">
        <v>3.0</v>
      </c>
      <c r="S227" s="1">
        <v>3.0</v>
      </c>
      <c r="T227" s="1">
        <v>2.0</v>
      </c>
      <c r="U227" s="1">
        <v>3.0</v>
      </c>
      <c r="V227" s="1">
        <v>4.0</v>
      </c>
      <c r="W227" s="1">
        <v>3.0</v>
      </c>
      <c r="X227" s="1">
        <v>2.0</v>
      </c>
      <c r="Y227" s="1">
        <v>4.0</v>
      </c>
      <c r="Z227" s="1">
        <v>3.0</v>
      </c>
      <c r="AA227" s="1">
        <v>4.0</v>
      </c>
      <c r="AB227" s="1">
        <v>4.0</v>
      </c>
      <c r="AC227" s="1">
        <v>3.0</v>
      </c>
      <c r="AD227" s="1">
        <v>3.0</v>
      </c>
      <c r="AE227" s="1">
        <v>2.0</v>
      </c>
      <c r="AF227" s="1">
        <v>2.0</v>
      </c>
      <c r="AG227" s="1">
        <v>3.0</v>
      </c>
      <c r="AH227" s="1">
        <v>4.0</v>
      </c>
      <c r="AI227" s="1">
        <v>3.0</v>
      </c>
      <c r="AJ227" s="1">
        <v>4.0</v>
      </c>
      <c r="AK227" s="1">
        <v>3.0</v>
      </c>
      <c r="AL227" s="1">
        <v>2.0</v>
      </c>
      <c r="AM227" s="1">
        <v>3.0</v>
      </c>
      <c r="AN227" s="1">
        <v>3.0</v>
      </c>
      <c r="AO227" s="1">
        <v>4.0</v>
      </c>
      <c r="AP227" s="1">
        <v>2.0</v>
      </c>
      <c r="AQ227" s="1">
        <v>3.0</v>
      </c>
      <c r="AR227" s="1">
        <v>2.0</v>
      </c>
      <c r="AS227" s="1">
        <v>3.0</v>
      </c>
      <c r="AT227" s="1">
        <v>3.0</v>
      </c>
      <c r="AU227" s="1">
        <v>4.0</v>
      </c>
      <c r="AV227" s="1">
        <v>4.0</v>
      </c>
      <c r="AW227" s="1">
        <v>2.0</v>
      </c>
      <c r="AX227" s="1">
        <v>3.0</v>
      </c>
      <c r="AY227" s="1">
        <v>3.0</v>
      </c>
      <c r="AZ227" s="1">
        <v>4.0</v>
      </c>
      <c r="BA227" s="1">
        <v>3.0</v>
      </c>
      <c r="BB227" s="1">
        <v>4.0</v>
      </c>
      <c r="BC227" s="1">
        <v>3.0</v>
      </c>
      <c r="BD227" s="1">
        <v>3.0</v>
      </c>
      <c r="BE227" s="1">
        <v>3.0</v>
      </c>
      <c r="BF227" s="1">
        <v>3.0</v>
      </c>
      <c r="BG227" s="1">
        <v>3.0</v>
      </c>
      <c r="BH227" s="1">
        <v>3.0</v>
      </c>
      <c r="BI227" s="1">
        <v>4.0</v>
      </c>
      <c r="BJ227" s="1">
        <v>3.0</v>
      </c>
      <c r="BK227" s="1">
        <v>4.0</v>
      </c>
      <c r="BL227" s="1">
        <v>4.0</v>
      </c>
      <c r="BM227" s="1">
        <v>4.0</v>
      </c>
      <c r="BN227" s="1">
        <v>4.0</v>
      </c>
      <c r="BO227" s="1">
        <v>4.0</v>
      </c>
      <c r="BP227" s="1">
        <v>3.0</v>
      </c>
      <c r="BQ227" s="1">
        <v>4.0</v>
      </c>
      <c r="BR227" s="1">
        <v>4.0</v>
      </c>
      <c r="BS227" s="1">
        <v>4.0</v>
      </c>
      <c r="BT227" s="1">
        <v>4.0</v>
      </c>
      <c r="BU227" s="1">
        <v>3.0</v>
      </c>
      <c r="BV227" s="1">
        <v>3.0</v>
      </c>
      <c r="BW227" s="1">
        <v>4.0</v>
      </c>
      <c r="BX227" s="1">
        <v>3.0</v>
      </c>
      <c r="BY227" s="1">
        <v>3.0</v>
      </c>
      <c r="BZ227" s="1">
        <v>4.0</v>
      </c>
    </row>
    <row r="228">
      <c r="A228" s="19">
        <v>46287.40595696759</v>
      </c>
      <c r="B228" s="1" t="s">
        <v>162</v>
      </c>
      <c r="C228" s="1" t="s">
        <v>1101</v>
      </c>
      <c r="D228" s="1">
        <v>2025.0</v>
      </c>
      <c r="E228" s="1" t="s">
        <v>356</v>
      </c>
      <c r="F228" s="1" t="s">
        <v>1102</v>
      </c>
      <c r="G228" s="1">
        <v>1.0</v>
      </c>
      <c r="H228" s="1">
        <v>3.0</v>
      </c>
      <c r="I228" s="1">
        <v>1.0</v>
      </c>
      <c r="J228" s="1">
        <v>3.0</v>
      </c>
      <c r="K228" s="1">
        <v>3.0</v>
      </c>
      <c r="L228" s="1">
        <v>4.0</v>
      </c>
      <c r="M228" s="1">
        <v>1.0</v>
      </c>
      <c r="N228" s="1">
        <v>4.0</v>
      </c>
      <c r="O228" s="1">
        <v>3.0</v>
      </c>
      <c r="P228" s="1">
        <v>4.0</v>
      </c>
      <c r="Q228" s="1">
        <v>3.0</v>
      </c>
      <c r="R228" s="1">
        <v>5.0</v>
      </c>
      <c r="S228" s="1">
        <v>3.0</v>
      </c>
      <c r="T228" s="1">
        <v>3.0</v>
      </c>
      <c r="U228" s="1">
        <v>1.0</v>
      </c>
      <c r="V228" s="1">
        <v>3.0</v>
      </c>
      <c r="W228" s="1">
        <v>3.0</v>
      </c>
      <c r="X228" s="1">
        <v>1.0</v>
      </c>
      <c r="Y228" s="1">
        <v>1.0</v>
      </c>
      <c r="Z228" s="1">
        <v>1.0</v>
      </c>
      <c r="AA228" s="1">
        <v>1.0</v>
      </c>
      <c r="AB228" s="1">
        <v>4.0</v>
      </c>
      <c r="AC228" s="1">
        <v>3.0</v>
      </c>
      <c r="AD228" s="1">
        <v>4.0</v>
      </c>
      <c r="AE228" s="1">
        <v>1.0</v>
      </c>
      <c r="AF228" s="1">
        <v>1.0</v>
      </c>
      <c r="AG228" s="1">
        <v>1.0</v>
      </c>
      <c r="AH228" s="1">
        <v>5.0</v>
      </c>
      <c r="AI228" s="1">
        <v>4.0</v>
      </c>
      <c r="AJ228" s="1">
        <v>4.0</v>
      </c>
      <c r="AK228" s="1">
        <v>4.0</v>
      </c>
      <c r="AL228" s="1">
        <v>3.0</v>
      </c>
      <c r="AM228" s="1">
        <v>1.0</v>
      </c>
      <c r="AN228" s="1">
        <v>4.0</v>
      </c>
      <c r="AO228" s="1">
        <v>4.0</v>
      </c>
      <c r="AP228" s="1">
        <v>1.0</v>
      </c>
      <c r="AQ228" s="1">
        <v>3.0</v>
      </c>
      <c r="AR228" s="1">
        <v>3.0</v>
      </c>
      <c r="AS228" s="1">
        <v>3.0</v>
      </c>
      <c r="AT228" s="1">
        <v>3.0</v>
      </c>
      <c r="AU228" s="1">
        <v>4.0</v>
      </c>
      <c r="AV228" s="1">
        <v>5.0</v>
      </c>
      <c r="AW228" s="1">
        <v>3.0</v>
      </c>
      <c r="AX228" s="1">
        <v>4.0</v>
      </c>
      <c r="AY228" s="1">
        <v>3.0</v>
      </c>
      <c r="AZ228" s="1">
        <v>4.0</v>
      </c>
      <c r="BA228" s="1">
        <v>4.0</v>
      </c>
      <c r="BB228" s="1">
        <v>5.0</v>
      </c>
      <c r="BC228" s="1">
        <v>4.0</v>
      </c>
      <c r="BD228" s="1">
        <v>3.0</v>
      </c>
      <c r="BE228" s="1">
        <v>3.0</v>
      </c>
      <c r="BF228" s="1">
        <v>4.0</v>
      </c>
      <c r="BG228" s="1">
        <v>5.0</v>
      </c>
      <c r="BH228" s="1">
        <v>5.0</v>
      </c>
      <c r="BI228" s="1">
        <v>5.0</v>
      </c>
      <c r="BJ228" s="1">
        <v>3.0</v>
      </c>
      <c r="BK228" s="1">
        <v>3.0</v>
      </c>
      <c r="BL228" s="1">
        <v>4.0</v>
      </c>
      <c r="BM228" s="1">
        <v>3.0</v>
      </c>
      <c r="BN228" s="1">
        <v>5.0</v>
      </c>
      <c r="BO228" s="1">
        <v>3.0</v>
      </c>
      <c r="BP228" s="1">
        <v>3.0</v>
      </c>
      <c r="BQ228" s="1">
        <v>4.0</v>
      </c>
      <c r="BR228" s="1">
        <v>5.0</v>
      </c>
      <c r="BS228" s="1">
        <v>5.0</v>
      </c>
      <c r="BT228" s="1">
        <v>5.0</v>
      </c>
      <c r="BU228" s="1">
        <v>2.0</v>
      </c>
      <c r="BV228" s="1">
        <v>3.0</v>
      </c>
      <c r="BW228" s="1">
        <v>5.0</v>
      </c>
      <c r="BX228" s="1">
        <v>3.0</v>
      </c>
      <c r="BY228" s="1">
        <v>4.0</v>
      </c>
      <c r="BZ228" s="1">
        <v>5.0</v>
      </c>
    </row>
    <row r="229">
      <c r="A229" s="19">
        <v>46287.40642753472</v>
      </c>
      <c r="B229" s="1" t="s">
        <v>162</v>
      </c>
      <c r="C229" s="1" t="s">
        <v>1106</v>
      </c>
      <c r="D229" s="1">
        <v>2025.0</v>
      </c>
      <c r="E229" s="1" t="s">
        <v>356</v>
      </c>
      <c r="F229" s="1" t="s">
        <v>1107</v>
      </c>
      <c r="G229" s="1">
        <v>5.0</v>
      </c>
      <c r="H229" s="1">
        <v>3.0</v>
      </c>
      <c r="I229" s="1">
        <v>1.0</v>
      </c>
      <c r="J229" s="1">
        <v>3.0</v>
      </c>
      <c r="K229" s="1">
        <v>3.0</v>
      </c>
      <c r="L229" s="1">
        <v>2.0</v>
      </c>
      <c r="M229" s="1">
        <v>4.0</v>
      </c>
      <c r="N229" s="1">
        <v>2.0</v>
      </c>
      <c r="O229" s="1">
        <v>3.0</v>
      </c>
      <c r="P229" s="1">
        <v>2.0</v>
      </c>
      <c r="Q229" s="1">
        <v>2.0</v>
      </c>
      <c r="R229" s="1">
        <v>5.0</v>
      </c>
      <c r="S229" s="1">
        <v>3.0</v>
      </c>
      <c r="T229" s="1">
        <v>2.0</v>
      </c>
      <c r="U229" s="1">
        <v>1.0</v>
      </c>
      <c r="V229" s="1">
        <v>3.0</v>
      </c>
      <c r="W229" s="1">
        <v>2.0</v>
      </c>
      <c r="X229" s="1">
        <v>2.0</v>
      </c>
      <c r="Y229" s="1">
        <v>4.0</v>
      </c>
      <c r="Z229" s="1">
        <v>5.0</v>
      </c>
      <c r="AA229" s="1">
        <v>3.0</v>
      </c>
      <c r="AB229" s="1">
        <v>4.0</v>
      </c>
      <c r="AC229" s="1">
        <v>4.0</v>
      </c>
      <c r="AD229" s="1">
        <v>3.0</v>
      </c>
      <c r="AE229" s="1">
        <v>2.0</v>
      </c>
      <c r="AF229" s="1">
        <v>4.0</v>
      </c>
      <c r="AG229" s="1">
        <v>2.0</v>
      </c>
      <c r="AH229" s="1">
        <v>5.0</v>
      </c>
      <c r="AI229" s="1">
        <v>4.0</v>
      </c>
      <c r="AJ229" s="1">
        <v>4.0</v>
      </c>
      <c r="AK229" s="1">
        <v>4.0</v>
      </c>
      <c r="AL229" s="1">
        <v>3.0</v>
      </c>
      <c r="AM229" s="1">
        <v>2.0</v>
      </c>
      <c r="AN229" s="1">
        <v>4.0</v>
      </c>
      <c r="AO229" s="1">
        <v>3.0</v>
      </c>
      <c r="AP229" s="1">
        <v>2.0</v>
      </c>
      <c r="AQ229" s="1">
        <v>4.0</v>
      </c>
      <c r="AR229" s="1">
        <v>4.0</v>
      </c>
      <c r="AS229" s="1">
        <v>3.0</v>
      </c>
      <c r="AT229" s="1">
        <v>2.0</v>
      </c>
      <c r="AU229" s="1">
        <v>4.0</v>
      </c>
      <c r="AV229" s="1">
        <v>4.0</v>
      </c>
      <c r="AW229" s="1">
        <v>3.0</v>
      </c>
      <c r="AX229" s="1">
        <v>3.0</v>
      </c>
      <c r="AY229" s="1">
        <v>3.0</v>
      </c>
      <c r="AZ229" s="1">
        <v>4.0</v>
      </c>
      <c r="BA229" s="1">
        <v>4.0</v>
      </c>
      <c r="BB229" s="1">
        <v>5.0</v>
      </c>
      <c r="BC229" s="1">
        <v>4.0</v>
      </c>
      <c r="BD229" s="1">
        <v>3.0</v>
      </c>
      <c r="BE229" s="1">
        <v>2.0</v>
      </c>
      <c r="BF229" s="1">
        <v>5.0</v>
      </c>
      <c r="BG229" s="1">
        <v>4.0</v>
      </c>
      <c r="BH229" s="1">
        <v>5.0</v>
      </c>
      <c r="BI229" s="1">
        <v>5.0</v>
      </c>
      <c r="BJ229" s="1">
        <v>3.0</v>
      </c>
      <c r="BK229" s="1">
        <v>3.0</v>
      </c>
      <c r="BL229" s="1">
        <v>2.0</v>
      </c>
      <c r="BM229" s="1">
        <v>4.0</v>
      </c>
      <c r="BN229" s="1">
        <v>4.0</v>
      </c>
      <c r="BO229" s="1">
        <v>4.0</v>
      </c>
      <c r="BP229" s="1">
        <v>3.0</v>
      </c>
      <c r="BQ229" s="1">
        <v>2.0</v>
      </c>
      <c r="BR229" s="1">
        <v>4.0</v>
      </c>
      <c r="BS229" s="1">
        <v>3.0</v>
      </c>
      <c r="BT229" s="1">
        <v>5.0</v>
      </c>
      <c r="BU229" s="1">
        <v>3.0</v>
      </c>
      <c r="BV229" s="1">
        <v>3.0</v>
      </c>
      <c r="BW229" s="1">
        <v>2.0</v>
      </c>
      <c r="BX229" s="1">
        <v>3.0</v>
      </c>
      <c r="BY229" s="1">
        <v>4.0</v>
      </c>
      <c r="BZ229" s="1">
        <v>5.0</v>
      </c>
    </row>
    <row r="230">
      <c r="A230" s="19">
        <v>46287.406451400464</v>
      </c>
      <c r="B230" s="1" t="s">
        <v>162</v>
      </c>
      <c r="C230" s="1" t="s">
        <v>1111</v>
      </c>
      <c r="D230" s="1">
        <v>2025.0</v>
      </c>
      <c r="E230" s="1" t="s">
        <v>365</v>
      </c>
      <c r="F230" s="1" t="s">
        <v>1112</v>
      </c>
      <c r="G230" s="1">
        <v>3.0</v>
      </c>
      <c r="H230" s="1">
        <v>2.0</v>
      </c>
      <c r="I230" s="1">
        <v>4.0</v>
      </c>
      <c r="J230" s="1">
        <v>5.0</v>
      </c>
      <c r="K230" s="1">
        <v>4.0</v>
      </c>
      <c r="L230" s="1">
        <v>3.0</v>
      </c>
      <c r="M230" s="1">
        <v>2.0</v>
      </c>
      <c r="N230" s="1">
        <v>3.0</v>
      </c>
      <c r="O230" s="1">
        <v>4.0</v>
      </c>
      <c r="P230" s="1">
        <v>4.0</v>
      </c>
      <c r="Q230" s="1">
        <v>4.0</v>
      </c>
      <c r="R230" s="1">
        <v>5.0</v>
      </c>
      <c r="S230" s="1">
        <v>4.0</v>
      </c>
      <c r="T230" s="1">
        <v>4.0</v>
      </c>
      <c r="U230" s="1">
        <v>3.0</v>
      </c>
      <c r="V230" s="1">
        <v>4.0</v>
      </c>
      <c r="W230" s="1">
        <v>3.0</v>
      </c>
      <c r="X230" s="1">
        <v>3.0</v>
      </c>
      <c r="Y230" s="1">
        <v>3.0</v>
      </c>
      <c r="Z230" s="1">
        <v>4.0</v>
      </c>
      <c r="AA230" s="1">
        <v>5.0</v>
      </c>
      <c r="AB230" s="1">
        <v>5.0</v>
      </c>
      <c r="AC230" s="1">
        <v>3.0</v>
      </c>
      <c r="AD230" s="1">
        <v>4.0</v>
      </c>
      <c r="AE230" s="1">
        <v>1.0</v>
      </c>
      <c r="AF230" s="1">
        <v>4.0</v>
      </c>
      <c r="AG230" s="1">
        <v>3.0</v>
      </c>
      <c r="AH230" s="1">
        <v>5.0</v>
      </c>
      <c r="AI230" s="1">
        <v>3.0</v>
      </c>
      <c r="AJ230" s="1">
        <v>4.0</v>
      </c>
      <c r="AK230" s="1">
        <v>3.0</v>
      </c>
      <c r="AL230" s="1">
        <v>3.0</v>
      </c>
      <c r="AM230" s="1">
        <v>2.0</v>
      </c>
      <c r="AN230" s="1">
        <v>3.0</v>
      </c>
      <c r="AO230" s="1">
        <v>4.0</v>
      </c>
      <c r="AP230" s="1">
        <v>2.0</v>
      </c>
      <c r="AQ230" s="1">
        <v>2.0</v>
      </c>
      <c r="AR230" s="1">
        <v>3.0</v>
      </c>
      <c r="AS230" s="1">
        <v>4.0</v>
      </c>
      <c r="AT230" s="1">
        <v>3.0</v>
      </c>
      <c r="AU230" s="1">
        <v>5.0</v>
      </c>
      <c r="AV230" s="1">
        <v>4.0</v>
      </c>
      <c r="AW230" s="1">
        <v>3.0</v>
      </c>
      <c r="AX230" s="1">
        <v>3.0</v>
      </c>
      <c r="AY230" s="1">
        <v>4.0</v>
      </c>
      <c r="AZ230" s="1">
        <v>4.0</v>
      </c>
      <c r="BA230" s="1">
        <v>3.0</v>
      </c>
      <c r="BB230" s="1">
        <v>4.0</v>
      </c>
      <c r="BC230" s="1">
        <v>3.0</v>
      </c>
      <c r="BD230" s="1">
        <v>3.0</v>
      </c>
      <c r="BE230" s="1">
        <v>3.0</v>
      </c>
      <c r="BF230" s="1">
        <v>4.0</v>
      </c>
      <c r="BG230" s="1">
        <v>5.0</v>
      </c>
      <c r="BH230" s="1">
        <v>5.0</v>
      </c>
      <c r="BI230" s="1">
        <v>4.0</v>
      </c>
      <c r="BJ230" s="1">
        <v>3.0</v>
      </c>
      <c r="BK230" s="1">
        <v>4.0</v>
      </c>
      <c r="BL230" s="1">
        <v>4.0</v>
      </c>
      <c r="BM230" s="1">
        <v>4.0</v>
      </c>
      <c r="BN230" s="1">
        <v>4.0</v>
      </c>
      <c r="BO230" s="1">
        <v>3.0</v>
      </c>
      <c r="BP230" s="1">
        <v>2.0</v>
      </c>
      <c r="BQ230" s="1">
        <v>4.0</v>
      </c>
      <c r="BR230" s="1">
        <v>4.0</v>
      </c>
      <c r="BS230" s="1">
        <v>4.0</v>
      </c>
      <c r="BT230" s="1">
        <v>4.0</v>
      </c>
      <c r="BU230" s="1">
        <v>3.0</v>
      </c>
      <c r="BV230" s="1">
        <v>3.0</v>
      </c>
      <c r="BW230" s="1">
        <v>3.0</v>
      </c>
      <c r="BX230" s="1">
        <v>4.0</v>
      </c>
      <c r="BY230" s="1">
        <v>4.0</v>
      </c>
      <c r="BZ230" s="1">
        <v>4.0</v>
      </c>
    </row>
    <row r="231">
      <c r="A231" s="19">
        <v>46287.40646304398</v>
      </c>
      <c r="B231" s="1" t="s">
        <v>162</v>
      </c>
      <c r="C231" s="1" t="s">
        <v>1116</v>
      </c>
      <c r="D231" s="1">
        <v>2025.0</v>
      </c>
      <c r="E231" s="1" t="s">
        <v>356</v>
      </c>
      <c r="F231" s="1" t="s">
        <v>1117</v>
      </c>
      <c r="G231" s="1">
        <v>4.0</v>
      </c>
      <c r="H231" s="1">
        <v>5.0</v>
      </c>
      <c r="I231" s="1">
        <v>3.0</v>
      </c>
      <c r="J231" s="1">
        <v>4.0</v>
      </c>
      <c r="K231" s="1">
        <v>4.0</v>
      </c>
      <c r="L231" s="1">
        <v>3.0</v>
      </c>
      <c r="M231" s="1">
        <v>5.0</v>
      </c>
      <c r="N231" s="1">
        <v>4.0</v>
      </c>
      <c r="O231" s="1">
        <v>4.0</v>
      </c>
      <c r="P231" s="1">
        <v>4.0</v>
      </c>
      <c r="Q231" s="1">
        <v>4.0</v>
      </c>
      <c r="R231" s="1">
        <v>4.0</v>
      </c>
      <c r="S231" s="1">
        <v>2.0</v>
      </c>
      <c r="T231" s="1">
        <v>4.0</v>
      </c>
      <c r="U231" s="1">
        <v>3.0</v>
      </c>
      <c r="V231" s="1">
        <v>4.0</v>
      </c>
      <c r="W231" s="1">
        <v>4.0</v>
      </c>
      <c r="X231" s="1">
        <v>3.0</v>
      </c>
      <c r="Y231" s="1">
        <v>3.0</v>
      </c>
      <c r="Z231" s="1">
        <v>5.0</v>
      </c>
      <c r="AA231" s="1">
        <v>5.0</v>
      </c>
      <c r="AB231" s="1">
        <v>4.0</v>
      </c>
      <c r="AC231" s="1">
        <v>4.0</v>
      </c>
      <c r="AD231" s="1">
        <v>3.0</v>
      </c>
      <c r="AE231" s="1">
        <v>3.0</v>
      </c>
      <c r="AF231" s="1">
        <v>4.0</v>
      </c>
      <c r="AG231" s="1">
        <v>3.0</v>
      </c>
      <c r="AH231" s="1">
        <v>4.0</v>
      </c>
      <c r="AI231" s="1">
        <v>4.0</v>
      </c>
      <c r="AJ231" s="1">
        <v>4.0</v>
      </c>
      <c r="AK231" s="1">
        <v>4.0</v>
      </c>
      <c r="AL231" s="1">
        <v>4.0</v>
      </c>
      <c r="AM231" s="1">
        <v>3.0</v>
      </c>
      <c r="AN231" s="1">
        <v>4.0</v>
      </c>
      <c r="AO231" s="1">
        <v>4.0</v>
      </c>
      <c r="AP231" s="1">
        <v>3.0</v>
      </c>
      <c r="AQ231" s="1">
        <v>3.0</v>
      </c>
      <c r="AR231" s="1">
        <v>4.0</v>
      </c>
      <c r="AS231" s="1">
        <v>3.0</v>
      </c>
      <c r="AT231" s="1">
        <v>4.0</v>
      </c>
      <c r="AU231" s="1">
        <v>4.0</v>
      </c>
      <c r="AV231" s="1">
        <v>4.0</v>
      </c>
      <c r="AW231" s="1">
        <v>3.0</v>
      </c>
      <c r="AX231" s="1">
        <v>4.0</v>
      </c>
      <c r="AY231" s="1">
        <v>4.0</v>
      </c>
      <c r="AZ231" s="1">
        <v>4.0</v>
      </c>
      <c r="BA231" s="1">
        <v>5.0</v>
      </c>
      <c r="BB231" s="1">
        <v>4.0</v>
      </c>
      <c r="BC231" s="1">
        <v>4.0</v>
      </c>
      <c r="BD231" s="1">
        <v>4.0</v>
      </c>
      <c r="BE231" s="1">
        <v>3.0</v>
      </c>
      <c r="BF231" s="1">
        <v>4.0</v>
      </c>
      <c r="BG231" s="1">
        <v>4.0</v>
      </c>
      <c r="BH231" s="1">
        <v>4.0</v>
      </c>
      <c r="BI231" s="1">
        <v>4.0</v>
      </c>
      <c r="BJ231" s="1">
        <v>4.0</v>
      </c>
      <c r="BK231" s="1">
        <v>4.0</v>
      </c>
      <c r="BL231" s="1">
        <v>4.0</v>
      </c>
      <c r="BM231" s="1">
        <v>4.0</v>
      </c>
      <c r="BN231" s="1">
        <v>4.0</v>
      </c>
      <c r="BO231" s="1">
        <v>4.0</v>
      </c>
      <c r="BP231" s="1">
        <v>4.0</v>
      </c>
      <c r="BQ231" s="1">
        <v>5.0</v>
      </c>
      <c r="BR231" s="1">
        <v>5.0</v>
      </c>
      <c r="BS231" s="1">
        <v>3.0</v>
      </c>
      <c r="BT231" s="1">
        <v>3.0</v>
      </c>
      <c r="BU231" s="1">
        <v>4.0</v>
      </c>
      <c r="BV231" s="1">
        <v>3.0</v>
      </c>
      <c r="BW231" s="1">
        <v>4.0</v>
      </c>
      <c r="BX231" s="1">
        <v>4.0</v>
      </c>
      <c r="BY231" s="1">
        <v>4.0</v>
      </c>
      <c r="BZ231" s="1">
        <v>4.0</v>
      </c>
    </row>
    <row r="232">
      <c r="A232" s="19">
        <v>46287.406502199075</v>
      </c>
      <c r="B232" s="1" t="s">
        <v>162</v>
      </c>
      <c r="C232" s="1" t="s">
        <v>1118</v>
      </c>
      <c r="D232" s="1">
        <v>2025.0</v>
      </c>
      <c r="E232" s="1" t="s">
        <v>356</v>
      </c>
      <c r="F232" s="1" t="s">
        <v>1119</v>
      </c>
      <c r="G232" s="1">
        <v>5.0</v>
      </c>
      <c r="H232" s="1">
        <v>5.0</v>
      </c>
      <c r="I232" s="1">
        <v>1.0</v>
      </c>
      <c r="J232" s="1">
        <v>2.0</v>
      </c>
      <c r="K232" s="1">
        <v>2.0</v>
      </c>
      <c r="L232" s="1">
        <v>2.0</v>
      </c>
      <c r="M232" s="1">
        <v>5.0</v>
      </c>
      <c r="N232" s="1">
        <v>3.0</v>
      </c>
      <c r="O232" s="1">
        <v>5.0</v>
      </c>
      <c r="P232" s="1">
        <v>2.0</v>
      </c>
      <c r="Q232" s="1">
        <v>3.0</v>
      </c>
      <c r="R232" s="1">
        <v>3.0</v>
      </c>
      <c r="S232" s="1">
        <v>2.0</v>
      </c>
      <c r="T232" s="1">
        <v>5.0</v>
      </c>
      <c r="U232" s="1">
        <v>3.0</v>
      </c>
      <c r="V232" s="1">
        <v>3.0</v>
      </c>
      <c r="W232" s="1">
        <v>4.0</v>
      </c>
      <c r="X232" s="1">
        <v>4.0</v>
      </c>
      <c r="Y232" s="1">
        <v>4.0</v>
      </c>
      <c r="Z232" s="1">
        <v>4.0</v>
      </c>
      <c r="AA232" s="1">
        <v>4.0</v>
      </c>
      <c r="AB232" s="1">
        <v>4.0</v>
      </c>
      <c r="AC232" s="1">
        <v>4.0</v>
      </c>
      <c r="AD232" s="1">
        <v>4.0</v>
      </c>
      <c r="AE232" s="1">
        <v>2.0</v>
      </c>
      <c r="AF232" s="1">
        <v>2.0</v>
      </c>
      <c r="AG232" s="1">
        <v>2.0</v>
      </c>
      <c r="AH232" s="1">
        <v>4.0</v>
      </c>
      <c r="AI232" s="1">
        <v>4.0</v>
      </c>
      <c r="AJ232" s="1">
        <v>1.0</v>
      </c>
      <c r="AK232" s="1">
        <v>1.0</v>
      </c>
      <c r="AL232" s="1">
        <v>2.0</v>
      </c>
      <c r="AM232" s="1">
        <v>1.0</v>
      </c>
      <c r="AN232" s="1">
        <v>4.0</v>
      </c>
      <c r="AO232" s="1">
        <v>1.0</v>
      </c>
      <c r="AP232" s="1">
        <v>1.0</v>
      </c>
      <c r="AQ232" s="1">
        <v>1.0</v>
      </c>
      <c r="AR232" s="1">
        <v>1.0</v>
      </c>
      <c r="AS232" s="1">
        <v>5.0</v>
      </c>
      <c r="AT232" s="1">
        <v>4.0</v>
      </c>
      <c r="AU232" s="1">
        <v>2.0</v>
      </c>
      <c r="AV232" s="1">
        <v>2.0</v>
      </c>
      <c r="AW232" s="1">
        <v>4.0</v>
      </c>
      <c r="AX232" s="1">
        <v>3.0</v>
      </c>
      <c r="AY232" s="1">
        <v>4.0</v>
      </c>
      <c r="AZ232" s="1">
        <v>4.0</v>
      </c>
      <c r="BA232" s="1">
        <v>5.0</v>
      </c>
      <c r="BB232" s="1">
        <v>4.0</v>
      </c>
      <c r="BC232" s="1">
        <v>5.0</v>
      </c>
      <c r="BD232" s="1">
        <v>5.0</v>
      </c>
      <c r="BE232" s="1">
        <v>5.0</v>
      </c>
      <c r="BF232" s="1">
        <v>5.0</v>
      </c>
      <c r="BG232" s="1">
        <v>4.0</v>
      </c>
      <c r="BH232" s="1">
        <v>4.0</v>
      </c>
      <c r="BI232" s="1">
        <v>5.0</v>
      </c>
      <c r="BJ232" s="1">
        <v>5.0</v>
      </c>
      <c r="BK232" s="1">
        <v>2.0</v>
      </c>
      <c r="BL232" s="1">
        <v>5.0</v>
      </c>
      <c r="BM232" s="1">
        <v>5.0</v>
      </c>
      <c r="BN232" s="1">
        <v>5.0</v>
      </c>
      <c r="BO232" s="1">
        <v>5.0</v>
      </c>
      <c r="BP232" s="1">
        <v>5.0</v>
      </c>
      <c r="BQ232" s="1">
        <v>5.0</v>
      </c>
      <c r="BR232" s="1">
        <v>5.0</v>
      </c>
      <c r="BS232" s="1">
        <v>5.0</v>
      </c>
      <c r="BT232" s="1">
        <v>3.0</v>
      </c>
      <c r="BU232" s="1">
        <v>3.0</v>
      </c>
      <c r="BV232" s="1">
        <v>3.0</v>
      </c>
      <c r="BW232" s="1">
        <v>3.0</v>
      </c>
      <c r="BX232" s="1">
        <v>4.0</v>
      </c>
      <c r="BY232" s="1">
        <v>4.0</v>
      </c>
      <c r="BZ232" s="1">
        <v>4.0</v>
      </c>
    </row>
    <row r="233">
      <c r="A233" s="19">
        <v>46287.40661476852</v>
      </c>
      <c r="B233" s="1" t="s">
        <v>162</v>
      </c>
      <c r="C233" s="1" t="s">
        <v>1123</v>
      </c>
      <c r="D233" s="1">
        <v>2025.0</v>
      </c>
      <c r="E233" s="1" t="s">
        <v>173</v>
      </c>
      <c r="F233" s="1" t="s">
        <v>1124</v>
      </c>
      <c r="G233" s="1">
        <v>5.0</v>
      </c>
      <c r="H233" s="1">
        <v>5.0</v>
      </c>
      <c r="I233" s="1">
        <v>1.0</v>
      </c>
      <c r="J233" s="1">
        <v>5.0</v>
      </c>
      <c r="K233" s="1">
        <v>5.0</v>
      </c>
      <c r="L233" s="1">
        <v>2.0</v>
      </c>
      <c r="M233" s="1">
        <v>5.0</v>
      </c>
      <c r="N233" s="1">
        <v>5.0</v>
      </c>
      <c r="O233" s="1">
        <v>5.0</v>
      </c>
      <c r="P233" s="1">
        <v>5.0</v>
      </c>
      <c r="Q233" s="1">
        <v>5.0</v>
      </c>
      <c r="R233" s="1">
        <v>5.0</v>
      </c>
      <c r="S233" s="1">
        <v>5.0</v>
      </c>
      <c r="T233" s="1">
        <v>5.0</v>
      </c>
      <c r="U233" s="1">
        <v>1.0</v>
      </c>
      <c r="V233" s="1">
        <v>5.0</v>
      </c>
      <c r="W233" s="1">
        <v>5.0</v>
      </c>
      <c r="X233" s="1">
        <v>5.0</v>
      </c>
      <c r="Y233" s="1">
        <v>5.0</v>
      </c>
      <c r="Z233" s="1">
        <v>5.0</v>
      </c>
      <c r="AA233" s="1">
        <v>1.0</v>
      </c>
      <c r="AB233" s="1">
        <v>5.0</v>
      </c>
      <c r="AC233" s="1">
        <v>5.0</v>
      </c>
      <c r="AD233" s="1">
        <v>5.0</v>
      </c>
      <c r="AE233" s="1">
        <v>1.0</v>
      </c>
      <c r="AF233" s="1">
        <v>5.0</v>
      </c>
      <c r="AG233" s="1">
        <v>5.0</v>
      </c>
      <c r="AH233" s="1">
        <v>5.0</v>
      </c>
      <c r="AI233" s="1">
        <v>5.0</v>
      </c>
      <c r="AJ233" s="1">
        <v>5.0</v>
      </c>
      <c r="AK233" s="1">
        <v>5.0</v>
      </c>
      <c r="AL233" s="1">
        <v>5.0</v>
      </c>
      <c r="AM233" s="1">
        <v>1.0</v>
      </c>
      <c r="AN233" s="1">
        <v>5.0</v>
      </c>
      <c r="AO233" s="1">
        <v>5.0</v>
      </c>
      <c r="AP233" s="1">
        <v>2.0</v>
      </c>
      <c r="AQ233" s="1">
        <v>5.0</v>
      </c>
      <c r="AR233" s="1">
        <v>5.0</v>
      </c>
      <c r="AS233" s="1">
        <v>5.0</v>
      </c>
      <c r="AT233" s="1">
        <v>5.0</v>
      </c>
      <c r="AU233" s="1">
        <v>5.0</v>
      </c>
      <c r="AV233" s="1">
        <v>5.0</v>
      </c>
      <c r="AW233" s="1">
        <v>5.0</v>
      </c>
      <c r="AX233" s="1">
        <v>5.0</v>
      </c>
      <c r="AY233" s="1">
        <v>4.0</v>
      </c>
      <c r="AZ233" s="1">
        <v>5.0</v>
      </c>
      <c r="BA233" s="1">
        <v>5.0</v>
      </c>
      <c r="BB233" s="1">
        <v>5.0</v>
      </c>
      <c r="BC233" s="1">
        <v>5.0</v>
      </c>
      <c r="BD233" s="1">
        <v>5.0</v>
      </c>
      <c r="BE233" s="1">
        <v>1.0</v>
      </c>
      <c r="BF233" s="1">
        <v>5.0</v>
      </c>
      <c r="BG233" s="1">
        <v>5.0</v>
      </c>
      <c r="BH233" s="1">
        <v>5.0</v>
      </c>
      <c r="BI233" s="1">
        <v>5.0</v>
      </c>
      <c r="BJ233" s="1">
        <v>5.0</v>
      </c>
      <c r="BK233" s="1">
        <v>5.0</v>
      </c>
      <c r="BL233" s="1">
        <v>5.0</v>
      </c>
      <c r="BM233" s="1">
        <v>5.0</v>
      </c>
      <c r="BN233" s="1">
        <v>5.0</v>
      </c>
      <c r="BO233" s="1">
        <v>5.0</v>
      </c>
      <c r="BP233" s="1">
        <v>5.0</v>
      </c>
      <c r="BQ233" s="1">
        <v>5.0</v>
      </c>
      <c r="BR233" s="1">
        <v>5.0</v>
      </c>
      <c r="BS233" s="1">
        <v>5.0</v>
      </c>
      <c r="BT233" s="1">
        <v>5.0</v>
      </c>
      <c r="BU233" s="1">
        <v>5.0</v>
      </c>
      <c r="BV233" s="1">
        <v>5.0</v>
      </c>
      <c r="BW233" s="1">
        <v>5.0</v>
      </c>
      <c r="BX233" s="1">
        <v>5.0</v>
      </c>
      <c r="BY233" s="1">
        <v>5.0</v>
      </c>
      <c r="BZ233" s="1">
        <v>5.0</v>
      </c>
    </row>
    <row r="234">
      <c r="A234" s="19">
        <v>46287.40667625</v>
      </c>
      <c r="B234" s="1" t="s">
        <v>162</v>
      </c>
      <c r="C234" s="1" t="s">
        <v>1128</v>
      </c>
      <c r="D234" s="1">
        <v>2026.0</v>
      </c>
      <c r="E234" s="1" t="s">
        <v>340</v>
      </c>
      <c r="F234" s="1" t="s">
        <v>1129</v>
      </c>
      <c r="G234" s="1">
        <v>4.0</v>
      </c>
      <c r="H234" s="1">
        <v>4.0</v>
      </c>
      <c r="I234" s="1">
        <v>3.0</v>
      </c>
      <c r="J234" s="1">
        <v>4.0</v>
      </c>
      <c r="K234" s="1">
        <v>3.0</v>
      </c>
      <c r="L234" s="1">
        <v>4.0</v>
      </c>
      <c r="M234" s="1">
        <v>3.0</v>
      </c>
      <c r="N234" s="1">
        <v>4.0</v>
      </c>
      <c r="O234" s="1">
        <v>3.0</v>
      </c>
      <c r="P234" s="1">
        <v>4.0</v>
      </c>
      <c r="Q234" s="1">
        <v>4.0</v>
      </c>
      <c r="R234" s="1">
        <v>5.0</v>
      </c>
      <c r="S234" s="1">
        <v>4.0</v>
      </c>
      <c r="T234" s="1">
        <v>3.0</v>
      </c>
      <c r="U234" s="1">
        <v>2.0</v>
      </c>
      <c r="V234" s="1">
        <v>4.0</v>
      </c>
      <c r="W234" s="1">
        <v>4.0</v>
      </c>
      <c r="X234" s="1">
        <v>3.0</v>
      </c>
      <c r="Y234" s="1">
        <v>4.0</v>
      </c>
      <c r="Z234" s="1">
        <v>4.0</v>
      </c>
      <c r="AA234" s="1">
        <v>3.0</v>
      </c>
      <c r="AB234" s="1">
        <v>3.0</v>
      </c>
      <c r="AC234" s="1">
        <v>4.0</v>
      </c>
      <c r="AD234" s="1">
        <v>4.0</v>
      </c>
      <c r="AE234" s="1">
        <v>2.0</v>
      </c>
      <c r="AF234" s="1">
        <v>3.0</v>
      </c>
      <c r="AG234" s="1">
        <v>3.0</v>
      </c>
      <c r="AH234" s="1">
        <v>5.0</v>
      </c>
      <c r="AI234" s="1">
        <v>3.0</v>
      </c>
      <c r="AJ234" s="1">
        <v>5.0</v>
      </c>
      <c r="AK234" s="1">
        <v>5.0</v>
      </c>
      <c r="AL234" s="1">
        <v>5.0</v>
      </c>
      <c r="AM234" s="1">
        <v>2.0</v>
      </c>
      <c r="AN234" s="1">
        <v>5.0</v>
      </c>
      <c r="AO234" s="1">
        <v>5.0</v>
      </c>
      <c r="AP234" s="1">
        <v>2.0</v>
      </c>
      <c r="AQ234" s="1">
        <v>5.0</v>
      </c>
      <c r="AR234" s="1">
        <v>4.0</v>
      </c>
      <c r="AS234" s="1">
        <v>5.0</v>
      </c>
      <c r="AT234" s="1">
        <v>5.0</v>
      </c>
      <c r="AU234" s="1">
        <v>5.0</v>
      </c>
      <c r="AV234" s="1">
        <v>5.0</v>
      </c>
      <c r="AW234" s="1">
        <v>5.0</v>
      </c>
      <c r="AX234" s="1">
        <v>3.0</v>
      </c>
      <c r="AY234" s="1">
        <v>2.0</v>
      </c>
      <c r="AZ234" s="1">
        <v>4.0</v>
      </c>
      <c r="BA234" s="1">
        <v>5.0</v>
      </c>
      <c r="BB234" s="1">
        <v>5.0</v>
      </c>
      <c r="BC234" s="1">
        <v>5.0</v>
      </c>
      <c r="BD234" s="1">
        <v>3.0</v>
      </c>
      <c r="BE234" s="1">
        <v>3.0</v>
      </c>
      <c r="BF234" s="1">
        <v>5.0</v>
      </c>
      <c r="BG234" s="1">
        <v>5.0</v>
      </c>
      <c r="BH234" s="1">
        <v>5.0</v>
      </c>
      <c r="BI234" s="1">
        <v>4.0</v>
      </c>
      <c r="BJ234" s="1">
        <v>5.0</v>
      </c>
      <c r="BK234" s="1">
        <v>2.0</v>
      </c>
      <c r="BL234" s="1">
        <v>3.0</v>
      </c>
      <c r="BM234" s="1">
        <v>5.0</v>
      </c>
      <c r="BN234" s="1">
        <v>5.0</v>
      </c>
      <c r="BO234" s="1">
        <v>5.0</v>
      </c>
      <c r="BP234" s="1">
        <v>4.0</v>
      </c>
      <c r="BQ234" s="1">
        <v>5.0</v>
      </c>
      <c r="BR234" s="1">
        <v>5.0</v>
      </c>
      <c r="BS234" s="1">
        <v>5.0</v>
      </c>
      <c r="BT234" s="1">
        <v>5.0</v>
      </c>
      <c r="BU234" s="1">
        <v>3.0</v>
      </c>
      <c r="BV234" s="1">
        <v>3.0</v>
      </c>
      <c r="BW234" s="1">
        <v>5.0</v>
      </c>
      <c r="BX234" s="1">
        <v>5.0</v>
      </c>
      <c r="BY234" s="1">
        <v>5.0</v>
      </c>
      <c r="BZ234" s="1">
        <v>5.0</v>
      </c>
    </row>
    <row r="235">
      <c r="A235" s="19">
        <v>46287.406709166666</v>
      </c>
      <c r="B235" s="1" t="s">
        <v>162</v>
      </c>
      <c r="C235" s="1" t="s">
        <v>1133</v>
      </c>
      <c r="D235" s="1">
        <v>2025.0</v>
      </c>
      <c r="E235" s="1" t="s">
        <v>591</v>
      </c>
      <c r="F235" s="1" t="s">
        <v>1134</v>
      </c>
      <c r="G235" s="1">
        <v>5.0</v>
      </c>
      <c r="H235" s="1">
        <v>5.0</v>
      </c>
      <c r="I235" s="1">
        <v>1.0</v>
      </c>
      <c r="J235" s="1">
        <v>5.0</v>
      </c>
      <c r="K235" s="1">
        <v>3.0</v>
      </c>
      <c r="L235" s="1">
        <v>2.0</v>
      </c>
      <c r="M235" s="1">
        <v>5.0</v>
      </c>
      <c r="N235" s="1">
        <v>4.0</v>
      </c>
      <c r="O235" s="1">
        <v>4.0</v>
      </c>
      <c r="P235" s="1">
        <v>4.0</v>
      </c>
      <c r="Q235" s="1">
        <v>4.0</v>
      </c>
      <c r="R235" s="1">
        <v>5.0</v>
      </c>
      <c r="S235" s="1">
        <v>3.0</v>
      </c>
      <c r="T235" s="1">
        <v>3.0</v>
      </c>
      <c r="U235" s="1">
        <v>1.0</v>
      </c>
      <c r="V235" s="1">
        <v>4.0</v>
      </c>
      <c r="W235" s="1">
        <v>4.0</v>
      </c>
      <c r="X235" s="1">
        <v>3.0</v>
      </c>
      <c r="Y235" s="1">
        <v>5.0</v>
      </c>
      <c r="Z235" s="1">
        <v>4.0</v>
      </c>
      <c r="AA235" s="1">
        <v>5.0</v>
      </c>
      <c r="AB235" s="1">
        <v>3.0</v>
      </c>
      <c r="AC235" s="1">
        <v>3.0</v>
      </c>
      <c r="AD235" s="1">
        <v>3.0</v>
      </c>
      <c r="AE235" s="1">
        <v>2.0</v>
      </c>
      <c r="AF235" s="1">
        <v>2.0</v>
      </c>
      <c r="AG235" s="1">
        <v>3.0</v>
      </c>
      <c r="AH235" s="1">
        <v>5.0</v>
      </c>
      <c r="AI235" s="1">
        <v>4.0</v>
      </c>
      <c r="AJ235" s="1">
        <v>4.0</v>
      </c>
      <c r="AK235" s="1">
        <v>4.0</v>
      </c>
      <c r="AL235" s="1">
        <v>4.0</v>
      </c>
      <c r="AM235" s="1">
        <v>2.0</v>
      </c>
      <c r="AN235" s="1">
        <v>3.0</v>
      </c>
      <c r="AO235" s="1">
        <v>5.0</v>
      </c>
      <c r="AP235" s="1">
        <v>2.0</v>
      </c>
      <c r="AQ235" s="1">
        <v>4.0</v>
      </c>
      <c r="AR235" s="1">
        <v>4.0</v>
      </c>
      <c r="AS235" s="1">
        <v>3.0</v>
      </c>
      <c r="AT235" s="1">
        <v>3.0</v>
      </c>
      <c r="AU235" s="1">
        <v>3.0</v>
      </c>
      <c r="AV235" s="1">
        <v>4.0</v>
      </c>
      <c r="AW235" s="1">
        <v>4.0</v>
      </c>
      <c r="AX235" s="1">
        <v>2.0</v>
      </c>
      <c r="AY235" s="1">
        <v>3.0</v>
      </c>
      <c r="AZ235" s="1">
        <v>3.0</v>
      </c>
      <c r="BA235" s="1">
        <v>3.0</v>
      </c>
      <c r="BB235" s="1">
        <v>4.0</v>
      </c>
      <c r="BC235" s="1">
        <v>3.0</v>
      </c>
      <c r="BD235" s="1">
        <v>2.0</v>
      </c>
      <c r="BE235" s="1">
        <v>1.0</v>
      </c>
      <c r="BF235" s="1">
        <v>4.0</v>
      </c>
      <c r="BG235" s="1">
        <v>4.0</v>
      </c>
      <c r="BH235" s="1">
        <v>4.0</v>
      </c>
      <c r="BI235" s="1">
        <v>5.0</v>
      </c>
      <c r="BJ235" s="1">
        <v>3.0</v>
      </c>
      <c r="BK235" s="1">
        <v>3.0</v>
      </c>
      <c r="BL235" s="1">
        <v>3.0</v>
      </c>
      <c r="BM235" s="1">
        <v>3.0</v>
      </c>
      <c r="BN235" s="1">
        <v>4.0</v>
      </c>
      <c r="BO235" s="1">
        <v>3.0</v>
      </c>
      <c r="BP235" s="1">
        <v>4.0</v>
      </c>
      <c r="BQ235" s="1">
        <v>2.0</v>
      </c>
      <c r="BR235" s="1">
        <v>4.0</v>
      </c>
      <c r="BS235" s="1">
        <v>4.0</v>
      </c>
      <c r="BT235" s="1">
        <v>4.0</v>
      </c>
      <c r="BU235" s="1">
        <v>3.0</v>
      </c>
      <c r="BV235" s="1">
        <v>2.0</v>
      </c>
      <c r="BW235" s="1">
        <v>2.0</v>
      </c>
      <c r="BX235" s="1">
        <v>3.0</v>
      </c>
      <c r="BY235" s="1">
        <v>3.0</v>
      </c>
      <c r="BZ235" s="1">
        <v>3.0</v>
      </c>
    </row>
    <row r="236">
      <c r="A236" s="19">
        <v>46287.40671648148</v>
      </c>
      <c r="B236" s="1" t="s">
        <v>162</v>
      </c>
      <c r="C236" s="1" t="s">
        <v>1138</v>
      </c>
      <c r="D236" s="1">
        <v>2025.0</v>
      </c>
      <c r="E236" s="1" t="s">
        <v>365</v>
      </c>
      <c r="F236" s="1" t="s">
        <v>1139</v>
      </c>
      <c r="G236" s="1">
        <v>2.0</v>
      </c>
      <c r="H236" s="1">
        <v>2.0</v>
      </c>
      <c r="I236" s="1">
        <v>2.0</v>
      </c>
      <c r="J236" s="1">
        <v>4.0</v>
      </c>
      <c r="K236" s="1">
        <v>4.0</v>
      </c>
      <c r="L236" s="1">
        <v>3.0</v>
      </c>
      <c r="M236" s="1">
        <v>1.0</v>
      </c>
      <c r="N236" s="1">
        <v>4.0</v>
      </c>
      <c r="O236" s="1">
        <v>4.0</v>
      </c>
      <c r="P236" s="1">
        <v>3.0</v>
      </c>
      <c r="Q236" s="1">
        <v>3.0</v>
      </c>
      <c r="R236" s="1">
        <v>2.0</v>
      </c>
      <c r="S236" s="1">
        <v>4.0</v>
      </c>
      <c r="T236" s="1">
        <v>3.0</v>
      </c>
      <c r="U236" s="1">
        <v>2.0</v>
      </c>
      <c r="V236" s="1">
        <v>4.0</v>
      </c>
      <c r="W236" s="1">
        <v>4.0</v>
      </c>
      <c r="X236" s="1">
        <v>2.0</v>
      </c>
      <c r="Y236" s="1">
        <v>2.0</v>
      </c>
      <c r="Z236" s="1">
        <v>3.0</v>
      </c>
      <c r="AA236" s="1">
        <v>2.0</v>
      </c>
      <c r="AB236" s="1">
        <v>4.0</v>
      </c>
      <c r="AC236" s="1">
        <v>4.0</v>
      </c>
      <c r="AD236" s="1">
        <v>3.0</v>
      </c>
      <c r="AE236" s="1">
        <v>2.0</v>
      </c>
      <c r="AF236" s="1">
        <v>4.0</v>
      </c>
      <c r="AG236" s="1">
        <v>4.0</v>
      </c>
      <c r="AH236" s="1">
        <v>5.0</v>
      </c>
      <c r="AI236" s="1">
        <v>4.0</v>
      </c>
      <c r="AJ236" s="1">
        <v>4.0</v>
      </c>
      <c r="AK236" s="1">
        <v>2.0</v>
      </c>
      <c r="AL236" s="1">
        <v>4.0</v>
      </c>
      <c r="AM236" s="1">
        <v>2.0</v>
      </c>
      <c r="AN236" s="1">
        <v>4.0</v>
      </c>
      <c r="AO236" s="1">
        <v>5.0</v>
      </c>
      <c r="AP236" s="1">
        <v>2.0</v>
      </c>
      <c r="AQ236" s="1">
        <v>5.0</v>
      </c>
      <c r="AR236" s="1">
        <v>2.0</v>
      </c>
      <c r="AS236" s="1">
        <v>4.0</v>
      </c>
      <c r="AT236" s="1">
        <v>5.0</v>
      </c>
      <c r="AU236" s="1">
        <v>5.0</v>
      </c>
      <c r="AV236" s="1">
        <v>5.0</v>
      </c>
      <c r="AW236" s="1">
        <v>1.0</v>
      </c>
      <c r="AX236" s="1">
        <v>2.0</v>
      </c>
      <c r="AY236" s="1">
        <v>4.0</v>
      </c>
      <c r="AZ236" s="1">
        <v>4.0</v>
      </c>
      <c r="BA236" s="1">
        <v>2.0</v>
      </c>
      <c r="BB236" s="1">
        <v>5.0</v>
      </c>
      <c r="BC236" s="1">
        <v>4.0</v>
      </c>
      <c r="BD236" s="1">
        <v>4.0</v>
      </c>
      <c r="BE236" s="1">
        <v>2.0</v>
      </c>
      <c r="BF236" s="1">
        <v>4.0</v>
      </c>
      <c r="BG236" s="1">
        <v>3.0</v>
      </c>
      <c r="BH236" s="1">
        <v>4.0</v>
      </c>
      <c r="BI236" s="1">
        <v>1.0</v>
      </c>
      <c r="BJ236" s="1">
        <v>4.0</v>
      </c>
      <c r="BK236" s="1">
        <v>4.0</v>
      </c>
      <c r="BL236" s="1">
        <v>4.0</v>
      </c>
      <c r="BM236" s="1">
        <v>4.0</v>
      </c>
      <c r="BN236" s="1">
        <v>4.0</v>
      </c>
      <c r="BO236" s="1">
        <v>2.0</v>
      </c>
      <c r="BP236" s="1">
        <v>2.0</v>
      </c>
      <c r="BQ236" s="1">
        <v>4.0</v>
      </c>
      <c r="BR236" s="1">
        <v>4.0</v>
      </c>
      <c r="BS236" s="1">
        <v>4.0</v>
      </c>
      <c r="BT236" s="1">
        <v>4.0</v>
      </c>
      <c r="BU236" s="1">
        <v>2.0</v>
      </c>
      <c r="BV236" s="1">
        <v>4.0</v>
      </c>
      <c r="BW236" s="1">
        <v>4.0</v>
      </c>
      <c r="BX236" s="1">
        <v>4.0</v>
      </c>
      <c r="BY236" s="1">
        <v>4.0</v>
      </c>
      <c r="BZ236" s="1">
        <v>2.0</v>
      </c>
    </row>
    <row r="237">
      <c r="A237" s="19">
        <v>46287.40696060185</v>
      </c>
      <c r="B237" s="1" t="s">
        <v>162</v>
      </c>
      <c r="C237" s="1" t="s">
        <v>1143</v>
      </c>
      <c r="D237" s="1">
        <v>2025.0</v>
      </c>
      <c r="E237" s="1" t="s">
        <v>356</v>
      </c>
      <c r="F237" s="1" t="s">
        <v>1144</v>
      </c>
      <c r="G237" s="1">
        <v>4.0</v>
      </c>
      <c r="H237" s="1">
        <v>3.0</v>
      </c>
      <c r="I237" s="1">
        <v>1.0</v>
      </c>
      <c r="J237" s="1">
        <v>5.0</v>
      </c>
      <c r="K237" s="1">
        <v>5.0</v>
      </c>
      <c r="L237" s="1">
        <v>5.0</v>
      </c>
      <c r="M237" s="1">
        <v>3.0</v>
      </c>
      <c r="N237" s="1">
        <v>4.0</v>
      </c>
      <c r="O237" s="1">
        <v>2.0</v>
      </c>
      <c r="P237" s="1">
        <v>5.0</v>
      </c>
      <c r="Q237" s="1">
        <v>4.0</v>
      </c>
      <c r="R237" s="1">
        <v>5.0</v>
      </c>
      <c r="S237" s="1">
        <v>5.0</v>
      </c>
      <c r="T237" s="1">
        <v>4.0</v>
      </c>
      <c r="U237" s="1">
        <v>1.0</v>
      </c>
      <c r="V237" s="1">
        <v>5.0</v>
      </c>
      <c r="W237" s="1">
        <v>4.0</v>
      </c>
      <c r="X237" s="1">
        <v>3.0</v>
      </c>
      <c r="Y237" s="1">
        <v>5.0</v>
      </c>
      <c r="Z237" s="1">
        <v>4.0</v>
      </c>
      <c r="AA237" s="1">
        <v>1.0</v>
      </c>
      <c r="AB237" s="1">
        <v>5.0</v>
      </c>
      <c r="AC237" s="1">
        <v>5.0</v>
      </c>
      <c r="AD237" s="1">
        <v>5.0</v>
      </c>
      <c r="AE237" s="1">
        <v>4.0</v>
      </c>
      <c r="AF237" s="1">
        <v>4.0</v>
      </c>
      <c r="AG237" s="1">
        <v>2.0</v>
      </c>
      <c r="AH237" s="1">
        <v>5.0</v>
      </c>
      <c r="AI237" s="1">
        <v>5.0</v>
      </c>
      <c r="AJ237" s="1">
        <v>5.0</v>
      </c>
      <c r="AK237" s="1">
        <v>4.0</v>
      </c>
      <c r="AL237" s="1">
        <v>5.0</v>
      </c>
      <c r="AM237" s="1">
        <v>1.0</v>
      </c>
      <c r="AN237" s="1">
        <v>5.0</v>
      </c>
      <c r="AO237" s="1">
        <v>3.0</v>
      </c>
      <c r="AP237" s="1">
        <v>5.0</v>
      </c>
      <c r="AQ237" s="1">
        <v>4.0</v>
      </c>
      <c r="AR237" s="1">
        <v>4.0</v>
      </c>
      <c r="AS237" s="1">
        <v>3.0</v>
      </c>
      <c r="AT237" s="1">
        <v>5.0</v>
      </c>
      <c r="AU237" s="1">
        <v>5.0</v>
      </c>
      <c r="AV237" s="1">
        <v>5.0</v>
      </c>
      <c r="AW237" s="1">
        <v>5.0</v>
      </c>
      <c r="AX237" s="1">
        <v>4.0</v>
      </c>
      <c r="AY237" s="1">
        <v>2.0</v>
      </c>
      <c r="AZ237" s="1">
        <v>5.0</v>
      </c>
      <c r="BA237" s="1">
        <v>4.0</v>
      </c>
      <c r="BB237" s="1">
        <v>5.0</v>
      </c>
      <c r="BC237" s="1">
        <v>4.0</v>
      </c>
      <c r="BD237" s="1">
        <v>4.0</v>
      </c>
      <c r="BE237" s="1">
        <v>1.0</v>
      </c>
      <c r="BF237" s="1">
        <v>5.0</v>
      </c>
      <c r="BG237" s="1">
        <v>5.0</v>
      </c>
      <c r="BH237" s="1">
        <v>5.0</v>
      </c>
      <c r="BI237" s="1">
        <v>4.0</v>
      </c>
      <c r="BJ237" s="1">
        <v>3.0</v>
      </c>
      <c r="BK237" s="1">
        <v>2.0</v>
      </c>
      <c r="BL237" s="1">
        <v>5.0</v>
      </c>
      <c r="BM237" s="1">
        <v>5.0</v>
      </c>
      <c r="BN237" s="1">
        <v>5.0</v>
      </c>
      <c r="BO237" s="1">
        <v>3.0</v>
      </c>
      <c r="BP237" s="1">
        <v>4.0</v>
      </c>
      <c r="BQ237" s="1">
        <v>4.0</v>
      </c>
      <c r="BR237" s="1">
        <v>5.0</v>
      </c>
      <c r="BS237" s="1">
        <v>5.0</v>
      </c>
      <c r="BT237" s="1">
        <v>4.0</v>
      </c>
      <c r="BU237" s="1">
        <v>3.0</v>
      </c>
      <c r="BV237" s="1">
        <v>3.0</v>
      </c>
      <c r="BW237" s="1">
        <v>4.0</v>
      </c>
      <c r="BX237" s="1">
        <v>5.0</v>
      </c>
      <c r="BY237" s="1">
        <v>3.0</v>
      </c>
      <c r="BZ237" s="1">
        <v>4.0</v>
      </c>
    </row>
    <row r="238">
      <c r="A238" s="19">
        <v>46287.40697244213</v>
      </c>
      <c r="B238" s="1" t="s">
        <v>162</v>
      </c>
      <c r="C238" s="1" t="s">
        <v>1148</v>
      </c>
      <c r="D238" s="1">
        <v>2025.0</v>
      </c>
      <c r="E238" s="1" t="s">
        <v>219</v>
      </c>
      <c r="F238" s="1" t="s">
        <v>1149</v>
      </c>
      <c r="G238" s="1">
        <v>3.0</v>
      </c>
      <c r="H238" s="1">
        <v>3.0</v>
      </c>
      <c r="I238" s="1">
        <v>2.0</v>
      </c>
      <c r="J238" s="1">
        <v>5.0</v>
      </c>
      <c r="K238" s="1">
        <v>4.0</v>
      </c>
      <c r="L238" s="1">
        <v>4.0</v>
      </c>
      <c r="M238" s="1">
        <v>3.0</v>
      </c>
      <c r="N238" s="1">
        <v>4.0</v>
      </c>
      <c r="O238" s="1">
        <v>4.0</v>
      </c>
      <c r="P238" s="1">
        <v>3.0</v>
      </c>
      <c r="Q238" s="1">
        <v>2.0</v>
      </c>
      <c r="R238" s="1">
        <v>4.0</v>
      </c>
      <c r="S238" s="1">
        <v>3.0</v>
      </c>
      <c r="T238" s="1">
        <v>4.0</v>
      </c>
      <c r="U238" s="1">
        <v>1.0</v>
      </c>
      <c r="V238" s="1">
        <v>5.0</v>
      </c>
      <c r="W238" s="1">
        <v>4.0</v>
      </c>
      <c r="X238" s="1">
        <v>3.0</v>
      </c>
      <c r="Y238" s="1">
        <v>4.0</v>
      </c>
      <c r="Z238" s="1">
        <v>3.0</v>
      </c>
      <c r="AA238" s="1">
        <v>5.0</v>
      </c>
      <c r="AB238" s="1">
        <v>4.0</v>
      </c>
      <c r="AC238" s="1">
        <v>4.0</v>
      </c>
      <c r="AD238" s="1">
        <v>4.0</v>
      </c>
      <c r="AE238" s="1">
        <v>2.0</v>
      </c>
      <c r="AF238" s="1">
        <v>3.0</v>
      </c>
      <c r="AG238" s="1">
        <v>3.0</v>
      </c>
      <c r="AH238" s="1">
        <v>5.0</v>
      </c>
      <c r="AI238" s="1">
        <v>4.0</v>
      </c>
      <c r="AJ238" s="1">
        <v>3.0</v>
      </c>
      <c r="AK238" s="1">
        <v>4.0</v>
      </c>
      <c r="AL238" s="1">
        <v>5.0</v>
      </c>
      <c r="AM238" s="1">
        <v>1.0</v>
      </c>
      <c r="AN238" s="1">
        <v>4.0</v>
      </c>
      <c r="AO238" s="1">
        <v>4.0</v>
      </c>
      <c r="AP238" s="1">
        <v>5.0</v>
      </c>
      <c r="AQ238" s="1">
        <v>4.0</v>
      </c>
      <c r="AR238" s="1">
        <v>3.0</v>
      </c>
      <c r="AS238" s="1">
        <v>4.0</v>
      </c>
      <c r="AT238" s="1">
        <v>5.0</v>
      </c>
      <c r="AU238" s="1">
        <v>3.0</v>
      </c>
      <c r="AV238" s="1">
        <v>4.0</v>
      </c>
      <c r="AW238" s="1">
        <v>3.0</v>
      </c>
      <c r="AX238" s="1">
        <v>4.0</v>
      </c>
      <c r="AY238" s="1">
        <v>4.0</v>
      </c>
      <c r="AZ238" s="1">
        <v>4.0</v>
      </c>
      <c r="BA238" s="1">
        <v>4.0</v>
      </c>
      <c r="BB238" s="1">
        <v>5.0</v>
      </c>
      <c r="BC238" s="1">
        <v>5.0</v>
      </c>
      <c r="BD238" s="1">
        <v>4.0</v>
      </c>
      <c r="BE238" s="1">
        <v>1.0</v>
      </c>
      <c r="BF238" s="1">
        <v>4.0</v>
      </c>
      <c r="BG238" s="1">
        <v>4.0</v>
      </c>
      <c r="BH238" s="1">
        <v>4.0</v>
      </c>
      <c r="BI238" s="1">
        <v>4.0</v>
      </c>
      <c r="BJ238" s="1">
        <v>4.0</v>
      </c>
      <c r="BK238" s="1">
        <v>4.0</v>
      </c>
      <c r="BL238" s="1">
        <v>4.0</v>
      </c>
      <c r="BM238" s="1">
        <v>5.0</v>
      </c>
      <c r="BN238" s="1">
        <v>4.0</v>
      </c>
      <c r="BO238" s="1">
        <v>5.0</v>
      </c>
      <c r="BP238" s="1">
        <v>4.0</v>
      </c>
      <c r="BQ238" s="1">
        <v>5.0</v>
      </c>
      <c r="BR238" s="1">
        <v>5.0</v>
      </c>
      <c r="BS238" s="1">
        <v>5.0</v>
      </c>
      <c r="BT238" s="1">
        <v>4.0</v>
      </c>
      <c r="BU238" s="1">
        <v>3.0</v>
      </c>
      <c r="BV238" s="1">
        <v>4.0</v>
      </c>
      <c r="BW238" s="1">
        <v>4.0</v>
      </c>
      <c r="BX238" s="1">
        <v>5.0</v>
      </c>
      <c r="BY238" s="1">
        <v>5.0</v>
      </c>
      <c r="BZ238" s="1">
        <v>5.0</v>
      </c>
    </row>
    <row r="239">
      <c r="A239" s="19">
        <v>46287.40727760417</v>
      </c>
      <c r="B239" s="1" t="s">
        <v>162</v>
      </c>
      <c r="C239" s="1" t="s">
        <v>1153</v>
      </c>
      <c r="D239" s="1">
        <v>2025.0</v>
      </c>
      <c r="E239" s="1" t="s">
        <v>1154</v>
      </c>
      <c r="F239" s="1" t="s">
        <v>1155</v>
      </c>
      <c r="G239" s="1">
        <v>1.0</v>
      </c>
      <c r="H239" s="1">
        <v>1.0</v>
      </c>
      <c r="I239" s="1">
        <v>5.0</v>
      </c>
      <c r="J239" s="1">
        <v>5.0</v>
      </c>
      <c r="K239" s="1">
        <v>3.0</v>
      </c>
      <c r="L239" s="1">
        <v>2.0</v>
      </c>
      <c r="M239" s="1">
        <v>2.0</v>
      </c>
      <c r="N239" s="1">
        <v>2.0</v>
      </c>
      <c r="O239" s="1">
        <v>3.0</v>
      </c>
      <c r="P239" s="1">
        <v>4.0</v>
      </c>
      <c r="Q239" s="1">
        <v>2.0</v>
      </c>
      <c r="R239" s="1">
        <v>2.0</v>
      </c>
      <c r="S239" s="1">
        <v>1.0</v>
      </c>
      <c r="T239" s="1">
        <v>4.0</v>
      </c>
      <c r="U239" s="1">
        <v>5.0</v>
      </c>
      <c r="V239" s="1">
        <v>4.0</v>
      </c>
      <c r="W239" s="1">
        <v>2.0</v>
      </c>
      <c r="X239" s="1">
        <v>2.0</v>
      </c>
      <c r="Y239" s="1">
        <v>1.0</v>
      </c>
      <c r="Z239" s="1">
        <v>3.0</v>
      </c>
      <c r="AA239" s="1">
        <v>5.0</v>
      </c>
      <c r="AB239" s="1">
        <v>5.0</v>
      </c>
      <c r="AC239" s="1">
        <v>4.0</v>
      </c>
      <c r="AD239" s="1">
        <v>4.0</v>
      </c>
      <c r="AE239" s="1">
        <v>1.0</v>
      </c>
      <c r="AF239" s="1">
        <v>1.0</v>
      </c>
      <c r="AG239" s="1">
        <v>4.0</v>
      </c>
      <c r="AH239" s="1">
        <v>5.0</v>
      </c>
      <c r="AI239" s="1">
        <v>3.0</v>
      </c>
      <c r="AJ239" s="1">
        <v>2.0</v>
      </c>
      <c r="AK239" s="1">
        <v>1.0</v>
      </c>
      <c r="AL239" s="1">
        <v>5.0</v>
      </c>
      <c r="AM239" s="1">
        <v>5.0</v>
      </c>
      <c r="AN239" s="1">
        <v>3.0</v>
      </c>
      <c r="AO239" s="1">
        <v>4.0</v>
      </c>
      <c r="AP239" s="1">
        <v>2.0</v>
      </c>
      <c r="AQ239" s="1">
        <v>1.0</v>
      </c>
      <c r="AR239" s="1">
        <v>1.0</v>
      </c>
      <c r="AS239" s="1">
        <v>4.0</v>
      </c>
      <c r="AT239" s="1">
        <v>5.0</v>
      </c>
      <c r="AU239" s="1">
        <v>4.0</v>
      </c>
      <c r="AV239" s="1">
        <v>3.0</v>
      </c>
      <c r="AW239" s="1">
        <v>1.0</v>
      </c>
      <c r="AX239" s="1">
        <v>1.0</v>
      </c>
      <c r="AY239" s="1">
        <v>1.0</v>
      </c>
      <c r="AZ239" s="1">
        <v>5.0</v>
      </c>
      <c r="BA239" s="1">
        <v>3.0</v>
      </c>
      <c r="BB239" s="1">
        <v>4.0</v>
      </c>
      <c r="BC239" s="1">
        <v>3.0</v>
      </c>
      <c r="BD239" s="1">
        <v>3.0</v>
      </c>
      <c r="BE239" s="1">
        <v>5.0</v>
      </c>
      <c r="BF239" s="1">
        <v>5.0</v>
      </c>
      <c r="BG239" s="1">
        <v>5.0</v>
      </c>
      <c r="BH239" s="1">
        <v>3.0</v>
      </c>
      <c r="BI239" s="1">
        <v>2.0</v>
      </c>
      <c r="BJ239" s="1">
        <v>4.0</v>
      </c>
      <c r="BK239" s="1">
        <v>5.0</v>
      </c>
      <c r="BL239" s="1">
        <v>4.0</v>
      </c>
      <c r="BM239" s="1">
        <v>5.0</v>
      </c>
      <c r="BN239" s="1">
        <v>2.0</v>
      </c>
      <c r="BO239" s="1">
        <v>2.0</v>
      </c>
      <c r="BP239" s="1">
        <v>2.0</v>
      </c>
      <c r="BQ239" s="1">
        <v>4.0</v>
      </c>
      <c r="BR239" s="1">
        <v>4.0</v>
      </c>
      <c r="BS239" s="1">
        <v>4.0</v>
      </c>
      <c r="BT239" s="1">
        <v>3.0</v>
      </c>
      <c r="BU239" s="1">
        <v>1.0</v>
      </c>
      <c r="BV239" s="1">
        <v>3.0</v>
      </c>
      <c r="BW239" s="1">
        <v>2.0</v>
      </c>
      <c r="BX239" s="1">
        <v>4.0</v>
      </c>
      <c r="BY239" s="1">
        <v>4.0</v>
      </c>
      <c r="BZ239" s="1">
        <v>3.0</v>
      </c>
    </row>
    <row r="240">
      <c r="A240" s="19">
        <v>46287.40734417824</v>
      </c>
      <c r="B240" s="1" t="s">
        <v>162</v>
      </c>
      <c r="C240" s="1" t="s">
        <v>1159</v>
      </c>
      <c r="D240" s="1">
        <v>2025.0</v>
      </c>
      <c r="E240" s="1" t="s">
        <v>173</v>
      </c>
      <c r="F240" s="1" t="s">
        <v>1160</v>
      </c>
      <c r="G240" s="1">
        <v>3.0</v>
      </c>
      <c r="H240" s="1">
        <v>2.0</v>
      </c>
      <c r="I240" s="1">
        <v>2.0</v>
      </c>
      <c r="J240" s="1">
        <v>4.0</v>
      </c>
      <c r="K240" s="1">
        <v>4.0</v>
      </c>
      <c r="L240" s="1">
        <v>2.0</v>
      </c>
      <c r="M240" s="1">
        <v>4.0</v>
      </c>
      <c r="N240" s="1">
        <v>4.0</v>
      </c>
      <c r="O240" s="1">
        <v>3.0</v>
      </c>
      <c r="P240" s="1">
        <v>4.0</v>
      </c>
      <c r="Q240" s="1">
        <v>4.0</v>
      </c>
      <c r="R240" s="1">
        <v>3.0</v>
      </c>
      <c r="S240" s="1">
        <v>2.0</v>
      </c>
      <c r="T240" s="1">
        <v>2.0</v>
      </c>
      <c r="U240" s="1">
        <v>2.0</v>
      </c>
      <c r="V240" s="1">
        <v>2.0</v>
      </c>
      <c r="W240" s="1">
        <v>4.0</v>
      </c>
      <c r="X240" s="1">
        <v>2.0</v>
      </c>
      <c r="Y240" s="1">
        <v>2.0</v>
      </c>
      <c r="Z240" s="1">
        <v>4.0</v>
      </c>
      <c r="AA240" s="1">
        <v>3.0</v>
      </c>
      <c r="AB240" s="1">
        <v>4.0</v>
      </c>
      <c r="AC240" s="1">
        <v>2.0</v>
      </c>
      <c r="AD240" s="1">
        <v>2.0</v>
      </c>
      <c r="AE240" s="1">
        <v>1.0</v>
      </c>
      <c r="AF240" s="1">
        <v>3.0</v>
      </c>
      <c r="AG240" s="1">
        <v>2.0</v>
      </c>
      <c r="AH240" s="1">
        <v>5.0</v>
      </c>
      <c r="AI240" s="1">
        <v>3.0</v>
      </c>
      <c r="AJ240" s="1">
        <v>5.0</v>
      </c>
      <c r="AK240" s="1">
        <v>4.0</v>
      </c>
      <c r="AL240" s="1">
        <v>2.0</v>
      </c>
      <c r="AM240" s="1">
        <v>2.0</v>
      </c>
      <c r="AN240" s="1">
        <v>4.0</v>
      </c>
      <c r="AO240" s="1">
        <v>5.0</v>
      </c>
      <c r="AP240" s="1">
        <v>2.0</v>
      </c>
      <c r="AQ240" s="1">
        <v>5.0</v>
      </c>
      <c r="AR240" s="1">
        <v>4.0</v>
      </c>
      <c r="AS240" s="1">
        <v>4.0</v>
      </c>
      <c r="AT240" s="1">
        <v>4.0</v>
      </c>
      <c r="AU240" s="1">
        <v>5.0</v>
      </c>
      <c r="AV240" s="1">
        <v>4.0</v>
      </c>
      <c r="AW240" s="1">
        <v>2.0</v>
      </c>
      <c r="AX240" s="1">
        <v>2.0</v>
      </c>
      <c r="AY240" s="1">
        <v>3.0</v>
      </c>
      <c r="AZ240" s="1">
        <v>5.0</v>
      </c>
      <c r="BA240" s="1">
        <v>5.0</v>
      </c>
      <c r="BB240" s="1">
        <v>4.0</v>
      </c>
      <c r="BC240" s="1">
        <v>3.0</v>
      </c>
      <c r="BD240" s="1">
        <v>4.0</v>
      </c>
      <c r="BE240" s="1">
        <v>2.0</v>
      </c>
      <c r="BF240" s="1">
        <v>5.0</v>
      </c>
      <c r="BG240" s="1">
        <v>4.0</v>
      </c>
      <c r="BH240" s="1">
        <v>4.0</v>
      </c>
      <c r="BI240" s="1">
        <v>4.0</v>
      </c>
      <c r="BJ240" s="1">
        <v>2.0</v>
      </c>
      <c r="BK240" s="1">
        <v>3.0</v>
      </c>
      <c r="BL240" s="1">
        <v>2.0</v>
      </c>
      <c r="BM240" s="1">
        <v>5.0</v>
      </c>
      <c r="BN240" s="1">
        <v>5.0</v>
      </c>
      <c r="BO240" s="1">
        <v>4.0</v>
      </c>
      <c r="BP240" s="1">
        <v>2.0</v>
      </c>
      <c r="BQ240" s="1">
        <v>4.0</v>
      </c>
      <c r="BR240" s="1">
        <v>5.0</v>
      </c>
      <c r="BS240" s="1">
        <v>3.0</v>
      </c>
      <c r="BT240" s="1">
        <v>3.0</v>
      </c>
      <c r="BU240" s="1">
        <v>2.0</v>
      </c>
      <c r="BV240" s="1">
        <v>2.0</v>
      </c>
      <c r="BW240" s="1">
        <v>3.0</v>
      </c>
      <c r="BX240" s="1">
        <v>4.0</v>
      </c>
      <c r="BY240" s="1">
        <v>4.0</v>
      </c>
      <c r="BZ240" s="1">
        <v>5.0</v>
      </c>
    </row>
    <row r="241">
      <c r="A241" s="19">
        <v>46287.40749140046</v>
      </c>
      <c r="B241" s="1" t="s">
        <v>162</v>
      </c>
      <c r="C241" s="1" t="s">
        <v>1164</v>
      </c>
      <c r="D241" s="1">
        <v>2026.0</v>
      </c>
      <c r="E241" s="1" t="s">
        <v>374</v>
      </c>
      <c r="F241" s="1" t="s">
        <v>1165</v>
      </c>
      <c r="G241" s="1">
        <v>2.0</v>
      </c>
      <c r="H241" s="1">
        <v>2.0</v>
      </c>
      <c r="I241" s="1">
        <v>2.0</v>
      </c>
      <c r="J241" s="1">
        <v>4.0</v>
      </c>
      <c r="K241" s="1">
        <v>2.0</v>
      </c>
      <c r="L241" s="1">
        <v>2.0</v>
      </c>
      <c r="M241" s="1">
        <v>2.0</v>
      </c>
      <c r="N241" s="1">
        <v>1.0</v>
      </c>
      <c r="O241" s="1">
        <v>3.0</v>
      </c>
      <c r="P241" s="1">
        <v>2.0</v>
      </c>
      <c r="Q241" s="1">
        <v>1.0</v>
      </c>
      <c r="R241" s="1">
        <v>4.0</v>
      </c>
      <c r="S241" s="1">
        <v>3.0</v>
      </c>
      <c r="T241" s="1">
        <v>1.0</v>
      </c>
      <c r="U241" s="1">
        <v>2.0</v>
      </c>
      <c r="V241" s="1">
        <v>4.0</v>
      </c>
      <c r="W241" s="1">
        <v>2.0</v>
      </c>
      <c r="X241" s="1">
        <v>2.0</v>
      </c>
      <c r="Y241" s="1">
        <v>3.0</v>
      </c>
      <c r="Z241" s="1">
        <v>1.0</v>
      </c>
      <c r="AA241" s="1">
        <v>2.0</v>
      </c>
      <c r="AB241" s="1">
        <v>4.0</v>
      </c>
      <c r="AC241" s="1">
        <v>3.0</v>
      </c>
      <c r="AD241" s="1">
        <v>2.0</v>
      </c>
      <c r="AE241" s="1">
        <v>1.0</v>
      </c>
      <c r="AF241" s="1">
        <v>1.0</v>
      </c>
      <c r="AG241" s="1">
        <v>2.0</v>
      </c>
      <c r="AH241" s="1">
        <v>4.0</v>
      </c>
      <c r="AI241" s="1">
        <v>2.0</v>
      </c>
      <c r="AJ241" s="1">
        <v>3.0</v>
      </c>
      <c r="AK241" s="1">
        <v>2.0</v>
      </c>
      <c r="AL241" s="1">
        <v>3.0</v>
      </c>
      <c r="AM241" s="1">
        <v>2.0</v>
      </c>
      <c r="AN241" s="1">
        <v>4.0</v>
      </c>
      <c r="AO241" s="1">
        <v>2.0</v>
      </c>
      <c r="AP241" s="1">
        <v>2.0</v>
      </c>
      <c r="AQ241" s="1">
        <v>2.0</v>
      </c>
      <c r="AR241" s="1">
        <v>2.0</v>
      </c>
      <c r="AS241" s="1">
        <v>3.0</v>
      </c>
      <c r="AT241" s="1">
        <v>4.0</v>
      </c>
      <c r="AU241" s="1">
        <v>2.0</v>
      </c>
      <c r="AV241" s="1">
        <v>3.0</v>
      </c>
      <c r="AW241" s="1">
        <v>3.0</v>
      </c>
      <c r="AX241" s="1">
        <v>2.0</v>
      </c>
      <c r="AY241" s="1">
        <v>3.0</v>
      </c>
      <c r="AZ241" s="1">
        <v>3.0</v>
      </c>
      <c r="BA241" s="1">
        <v>2.0</v>
      </c>
      <c r="BB241" s="1">
        <v>4.0</v>
      </c>
      <c r="BC241" s="1">
        <v>2.0</v>
      </c>
      <c r="BD241" s="1">
        <v>1.0</v>
      </c>
      <c r="BE241" s="1">
        <v>2.0</v>
      </c>
      <c r="BF241" s="1">
        <v>4.0</v>
      </c>
      <c r="BG241" s="1">
        <v>3.0</v>
      </c>
      <c r="BH241" s="1">
        <v>3.0</v>
      </c>
      <c r="BI241" s="1">
        <v>3.0</v>
      </c>
      <c r="BJ241" s="1">
        <v>2.0</v>
      </c>
      <c r="BK241" s="1">
        <v>2.0</v>
      </c>
      <c r="BL241" s="1">
        <v>2.0</v>
      </c>
      <c r="BM241" s="1">
        <v>4.0</v>
      </c>
      <c r="BN241" s="1">
        <v>3.0</v>
      </c>
      <c r="BO241" s="1">
        <v>2.0</v>
      </c>
      <c r="BP241" s="1">
        <v>2.0</v>
      </c>
      <c r="BQ241" s="1">
        <v>2.0</v>
      </c>
      <c r="BR241" s="1">
        <v>4.0</v>
      </c>
      <c r="BS241" s="1">
        <v>4.0</v>
      </c>
      <c r="BT241" s="1">
        <v>4.0</v>
      </c>
      <c r="BU241" s="1">
        <v>2.0</v>
      </c>
      <c r="BV241" s="1">
        <v>1.0</v>
      </c>
      <c r="BW241" s="1">
        <v>2.0</v>
      </c>
      <c r="BX241" s="1">
        <v>4.0</v>
      </c>
      <c r="BY241" s="1">
        <v>2.0</v>
      </c>
      <c r="BZ241" s="1">
        <v>3.0</v>
      </c>
    </row>
    <row r="242">
      <c r="A242" s="19">
        <v>46287.40763971065</v>
      </c>
      <c r="B242" s="1" t="s">
        <v>162</v>
      </c>
      <c r="C242" s="1" t="s">
        <v>1169</v>
      </c>
      <c r="D242" s="1">
        <v>2025.0</v>
      </c>
      <c r="E242" s="1" t="s">
        <v>356</v>
      </c>
      <c r="F242" s="1" t="s">
        <v>1170</v>
      </c>
      <c r="G242" s="1">
        <v>3.0</v>
      </c>
      <c r="H242" s="1">
        <v>4.0</v>
      </c>
      <c r="I242" s="1">
        <v>2.0</v>
      </c>
      <c r="J242" s="1">
        <v>5.0</v>
      </c>
      <c r="K242" s="1">
        <v>5.0</v>
      </c>
      <c r="L242" s="1">
        <v>5.0</v>
      </c>
      <c r="M242" s="1">
        <v>3.0</v>
      </c>
      <c r="N242" s="1">
        <v>4.0</v>
      </c>
      <c r="O242" s="1">
        <v>3.0</v>
      </c>
      <c r="P242" s="1">
        <v>4.0</v>
      </c>
      <c r="Q242" s="1">
        <v>3.0</v>
      </c>
      <c r="R242" s="1">
        <v>5.0</v>
      </c>
      <c r="S242" s="1">
        <v>4.0</v>
      </c>
      <c r="T242" s="1">
        <v>4.0</v>
      </c>
      <c r="U242" s="1">
        <v>2.0</v>
      </c>
      <c r="V242" s="1">
        <v>4.0</v>
      </c>
      <c r="W242" s="1">
        <v>4.0</v>
      </c>
      <c r="X242" s="1">
        <v>3.0</v>
      </c>
      <c r="Y242" s="1">
        <v>4.0</v>
      </c>
      <c r="Z242" s="1">
        <v>4.0</v>
      </c>
      <c r="AA242" s="1">
        <v>2.0</v>
      </c>
      <c r="AB242" s="1">
        <v>5.0</v>
      </c>
      <c r="AC242" s="1">
        <v>4.0</v>
      </c>
      <c r="AD242" s="1">
        <v>5.0</v>
      </c>
      <c r="AE242" s="1">
        <v>3.0</v>
      </c>
      <c r="AF242" s="1">
        <v>5.0</v>
      </c>
      <c r="AG242" s="1">
        <v>3.0</v>
      </c>
      <c r="AH242" s="1">
        <v>5.0</v>
      </c>
      <c r="AI242" s="1">
        <v>5.0</v>
      </c>
      <c r="AJ242" s="1">
        <v>5.0</v>
      </c>
      <c r="AK242" s="1">
        <v>4.0</v>
      </c>
      <c r="AL242" s="1">
        <v>5.0</v>
      </c>
      <c r="AM242" s="1">
        <v>2.0</v>
      </c>
      <c r="AN242" s="1">
        <v>4.0</v>
      </c>
      <c r="AO242" s="1">
        <v>3.0</v>
      </c>
      <c r="AP242" s="1">
        <v>5.0</v>
      </c>
      <c r="AQ242" s="1">
        <v>4.0</v>
      </c>
      <c r="AR242" s="1">
        <v>4.0</v>
      </c>
      <c r="AS242" s="1">
        <v>3.0</v>
      </c>
      <c r="AT242" s="1">
        <v>5.0</v>
      </c>
      <c r="AU242" s="1">
        <v>4.0</v>
      </c>
      <c r="AV242" s="1">
        <v>4.0</v>
      </c>
      <c r="AW242" s="1">
        <v>4.0</v>
      </c>
      <c r="AX242" s="1">
        <v>4.0</v>
      </c>
      <c r="AY242" s="1">
        <v>3.0</v>
      </c>
      <c r="AZ242" s="1">
        <v>5.0</v>
      </c>
      <c r="BA242" s="1">
        <v>5.0</v>
      </c>
      <c r="BB242" s="1">
        <v>5.0</v>
      </c>
      <c r="BC242" s="1">
        <v>4.0</v>
      </c>
      <c r="BD242" s="1">
        <v>4.0</v>
      </c>
      <c r="BE242" s="1">
        <v>2.0</v>
      </c>
      <c r="BF242" s="1">
        <v>5.0</v>
      </c>
      <c r="BG242" s="1">
        <v>5.0</v>
      </c>
      <c r="BH242" s="1">
        <v>5.0</v>
      </c>
      <c r="BI242" s="1">
        <v>5.0</v>
      </c>
      <c r="BJ242" s="1">
        <v>4.0</v>
      </c>
      <c r="BK242" s="1">
        <v>2.0</v>
      </c>
      <c r="BL242" s="1">
        <v>3.0</v>
      </c>
      <c r="BM242" s="1">
        <v>5.0</v>
      </c>
      <c r="BN242" s="1">
        <v>5.0</v>
      </c>
      <c r="BO242" s="1">
        <v>3.0</v>
      </c>
      <c r="BP242" s="1">
        <v>4.0</v>
      </c>
      <c r="BQ242" s="1">
        <v>5.0</v>
      </c>
      <c r="BR242" s="1">
        <v>5.0</v>
      </c>
      <c r="BS242" s="1">
        <v>5.0</v>
      </c>
      <c r="BT242" s="1">
        <v>4.0</v>
      </c>
      <c r="BU242" s="1">
        <v>4.0</v>
      </c>
      <c r="BV242" s="1">
        <v>4.0</v>
      </c>
      <c r="BW242" s="1">
        <v>5.0</v>
      </c>
      <c r="BX242" s="1">
        <v>5.0</v>
      </c>
      <c r="BY242" s="1">
        <v>5.0</v>
      </c>
      <c r="BZ242" s="1">
        <v>5.0</v>
      </c>
    </row>
    <row r="243">
      <c r="A243" s="19">
        <v>46287.40810695602</v>
      </c>
      <c r="B243" s="1" t="s">
        <v>162</v>
      </c>
      <c r="C243" s="1" t="s">
        <v>1174</v>
      </c>
      <c r="D243" s="1">
        <v>2026.0</v>
      </c>
      <c r="E243" s="1" t="s">
        <v>374</v>
      </c>
      <c r="F243" s="1" t="s">
        <v>1175</v>
      </c>
      <c r="G243" s="1">
        <v>5.0</v>
      </c>
      <c r="H243" s="1">
        <v>2.0</v>
      </c>
      <c r="I243" s="1">
        <v>3.0</v>
      </c>
      <c r="J243" s="1">
        <v>5.0</v>
      </c>
      <c r="K243" s="1">
        <v>4.0</v>
      </c>
      <c r="L243" s="1">
        <v>2.0</v>
      </c>
      <c r="M243" s="1">
        <v>3.0</v>
      </c>
      <c r="N243" s="1">
        <v>2.0</v>
      </c>
      <c r="O243" s="1">
        <v>5.0</v>
      </c>
      <c r="P243" s="1">
        <v>4.0</v>
      </c>
      <c r="Q243" s="1">
        <v>3.0</v>
      </c>
      <c r="R243" s="1">
        <v>5.0</v>
      </c>
      <c r="S243" s="1">
        <v>3.0</v>
      </c>
      <c r="T243" s="1">
        <v>4.0</v>
      </c>
      <c r="U243" s="1">
        <v>4.0</v>
      </c>
      <c r="V243" s="1">
        <v>5.0</v>
      </c>
      <c r="W243" s="1">
        <v>4.0</v>
      </c>
      <c r="X243" s="1">
        <v>3.0</v>
      </c>
      <c r="Y243" s="1">
        <v>4.0</v>
      </c>
      <c r="Z243" s="1">
        <v>5.0</v>
      </c>
      <c r="AA243" s="1">
        <v>5.0</v>
      </c>
      <c r="AB243" s="1">
        <v>5.0</v>
      </c>
      <c r="AC243" s="1">
        <v>5.0</v>
      </c>
      <c r="AD243" s="1">
        <v>3.0</v>
      </c>
      <c r="AE243" s="1">
        <v>3.0</v>
      </c>
      <c r="AF243" s="1">
        <v>3.0</v>
      </c>
      <c r="AG243" s="1">
        <v>3.0</v>
      </c>
      <c r="AH243" s="1">
        <v>5.0</v>
      </c>
      <c r="AI243" s="1">
        <v>4.0</v>
      </c>
      <c r="AJ243" s="1">
        <v>3.0</v>
      </c>
      <c r="AK243" s="1">
        <v>4.0</v>
      </c>
      <c r="AL243" s="1">
        <v>4.0</v>
      </c>
      <c r="AM243" s="1">
        <v>4.0</v>
      </c>
      <c r="AN243" s="1">
        <v>4.0</v>
      </c>
      <c r="AO243" s="1">
        <v>2.0</v>
      </c>
      <c r="AP243" s="1">
        <v>2.0</v>
      </c>
      <c r="AQ243" s="1">
        <v>4.0</v>
      </c>
      <c r="AR243" s="1">
        <v>3.0</v>
      </c>
      <c r="AS243" s="1">
        <v>3.0</v>
      </c>
      <c r="AT243" s="1">
        <v>5.0</v>
      </c>
      <c r="AU243" s="1">
        <v>3.0</v>
      </c>
      <c r="AV243" s="1">
        <v>3.0</v>
      </c>
      <c r="AW243" s="1">
        <v>4.0</v>
      </c>
      <c r="AX243" s="1">
        <v>2.0</v>
      </c>
      <c r="AY243" s="1">
        <v>3.0</v>
      </c>
      <c r="AZ243" s="1">
        <v>4.0</v>
      </c>
      <c r="BA243" s="1">
        <v>5.0</v>
      </c>
      <c r="BB243" s="1">
        <v>3.0</v>
      </c>
      <c r="BC243" s="1">
        <v>5.0</v>
      </c>
      <c r="BD243" s="1">
        <v>4.0</v>
      </c>
      <c r="BE243" s="1">
        <v>5.0</v>
      </c>
      <c r="BF243" s="1">
        <v>5.0</v>
      </c>
      <c r="BG243" s="1">
        <v>3.0</v>
      </c>
      <c r="BH243" s="1">
        <v>3.0</v>
      </c>
      <c r="BI243" s="1">
        <v>3.0</v>
      </c>
      <c r="BJ243" s="1">
        <v>4.0</v>
      </c>
      <c r="BK243" s="1">
        <v>4.0</v>
      </c>
      <c r="BL243" s="1">
        <v>5.0</v>
      </c>
      <c r="BM243" s="1">
        <v>5.0</v>
      </c>
      <c r="BN243" s="1">
        <v>4.0</v>
      </c>
      <c r="BO243" s="1">
        <v>5.0</v>
      </c>
      <c r="BP243" s="1">
        <v>4.0</v>
      </c>
      <c r="BQ243" s="1">
        <v>4.0</v>
      </c>
      <c r="BR243" s="1">
        <v>4.0</v>
      </c>
      <c r="BS243" s="1">
        <v>3.0</v>
      </c>
      <c r="BT243" s="1">
        <v>5.0</v>
      </c>
      <c r="BU243" s="1">
        <v>5.0</v>
      </c>
      <c r="BV243" s="1">
        <v>4.0</v>
      </c>
      <c r="BW243" s="1">
        <v>3.0</v>
      </c>
      <c r="BX243" s="1">
        <v>5.0</v>
      </c>
      <c r="BY243" s="1">
        <v>4.0</v>
      </c>
      <c r="BZ243" s="1">
        <v>3.0</v>
      </c>
    </row>
    <row r="244">
      <c r="A244" s="19">
        <v>46287.40837152778</v>
      </c>
      <c r="B244" s="1" t="s">
        <v>162</v>
      </c>
      <c r="C244" s="1" t="s">
        <v>1179</v>
      </c>
      <c r="D244" s="1">
        <v>2025.0</v>
      </c>
      <c r="E244" s="1" t="s">
        <v>213</v>
      </c>
      <c r="F244" s="1" t="s">
        <v>1180</v>
      </c>
      <c r="G244" s="1">
        <v>4.0</v>
      </c>
      <c r="H244" s="1">
        <v>4.0</v>
      </c>
      <c r="I244" s="1">
        <v>4.0</v>
      </c>
      <c r="J244" s="1">
        <v>4.0</v>
      </c>
      <c r="K244" s="1">
        <v>4.0</v>
      </c>
      <c r="L244" s="1">
        <v>4.0</v>
      </c>
      <c r="M244" s="1">
        <v>4.0</v>
      </c>
      <c r="N244" s="1">
        <v>4.0</v>
      </c>
      <c r="O244" s="1">
        <v>4.0</v>
      </c>
      <c r="P244" s="1">
        <v>4.0</v>
      </c>
      <c r="Q244" s="1">
        <v>4.0</v>
      </c>
      <c r="R244" s="1">
        <v>4.0</v>
      </c>
      <c r="S244" s="1">
        <v>4.0</v>
      </c>
      <c r="T244" s="1">
        <v>4.0</v>
      </c>
      <c r="U244" s="1">
        <v>4.0</v>
      </c>
      <c r="V244" s="1">
        <v>5.0</v>
      </c>
      <c r="W244" s="1">
        <v>4.0</v>
      </c>
      <c r="X244" s="1">
        <v>4.0</v>
      </c>
      <c r="Y244" s="1">
        <v>4.0</v>
      </c>
      <c r="Z244" s="1">
        <v>4.0</v>
      </c>
      <c r="AA244" s="1">
        <v>5.0</v>
      </c>
      <c r="AB244" s="1">
        <v>5.0</v>
      </c>
      <c r="AC244" s="1">
        <v>4.0</v>
      </c>
      <c r="AD244" s="1">
        <v>4.0</v>
      </c>
      <c r="AE244" s="1">
        <v>4.0</v>
      </c>
      <c r="AF244" s="1">
        <v>4.0</v>
      </c>
      <c r="AG244" s="1">
        <v>4.0</v>
      </c>
      <c r="AH244" s="1">
        <v>4.0</v>
      </c>
      <c r="AI244" s="1">
        <v>4.0</v>
      </c>
      <c r="AJ244" s="1">
        <v>4.0</v>
      </c>
      <c r="AK244" s="1">
        <v>4.0</v>
      </c>
      <c r="AL244" s="1">
        <v>4.0</v>
      </c>
      <c r="AM244" s="1">
        <v>4.0</v>
      </c>
      <c r="AN244" s="1">
        <v>4.0</v>
      </c>
      <c r="AO244" s="1">
        <v>4.0</v>
      </c>
      <c r="AP244" s="1">
        <v>4.0</v>
      </c>
      <c r="AQ244" s="1">
        <v>4.0</v>
      </c>
      <c r="AR244" s="1">
        <v>4.0</v>
      </c>
      <c r="AS244" s="1">
        <v>4.0</v>
      </c>
      <c r="AT244" s="1">
        <v>4.0</v>
      </c>
      <c r="AU244" s="1">
        <v>4.0</v>
      </c>
      <c r="AV244" s="1">
        <v>4.0</v>
      </c>
      <c r="AW244" s="1">
        <v>4.0</v>
      </c>
      <c r="AX244" s="1">
        <v>4.0</v>
      </c>
      <c r="AY244" s="1">
        <v>4.0</v>
      </c>
      <c r="AZ244" s="1">
        <v>4.0</v>
      </c>
      <c r="BA244" s="1">
        <v>4.0</v>
      </c>
      <c r="BB244" s="1">
        <v>4.0</v>
      </c>
      <c r="BC244" s="1">
        <v>4.0</v>
      </c>
      <c r="BD244" s="1">
        <v>4.0</v>
      </c>
      <c r="BE244" s="1">
        <v>4.0</v>
      </c>
      <c r="BF244" s="1">
        <v>4.0</v>
      </c>
      <c r="BG244" s="1">
        <v>4.0</v>
      </c>
      <c r="BH244" s="1">
        <v>4.0</v>
      </c>
      <c r="BI244" s="1">
        <v>4.0</v>
      </c>
      <c r="BJ244" s="1">
        <v>4.0</v>
      </c>
      <c r="BK244" s="1">
        <v>4.0</v>
      </c>
      <c r="BL244" s="1">
        <v>4.0</v>
      </c>
      <c r="BM244" s="1">
        <v>4.0</v>
      </c>
      <c r="BN244" s="1">
        <v>4.0</v>
      </c>
      <c r="BO244" s="1">
        <v>4.0</v>
      </c>
      <c r="BP244" s="1">
        <v>4.0</v>
      </c>
      <c r="BQ244" s="1">
        <v>4.0</v>
      </c>
      <c r="BR244" s="1">
        <v>5.0</v>
      </c>
      <c r="BS244" s="1">
        <v>4.0</v>
      </c>
      <c r="BT244" s="1">
        <v>4.0</v>
      </c>
      <c r="BU244" s="1">
        <v>4.0</v>
      </c>
      <c r="BV244" s="1">
        <v>4.0</v>
      </c>
      <c r="BW244" s="1">
        <v>4.0</v>
      </c>
      <c r="BX244" s="1">
        <v>4.0</v>
      </c>
      <c r="BY244" s="1">
        <v>4.0</v>
      </c>
      <c r="BZ244" s="1">
        <v>4.0</v>
      </c>
    </row>
    <row r="245">
      <c r="A245" s="19">
        <v>46287.40907317129</v>
      </c>
      <c r="B245" s="1" t="s">
        <v>162</v>
      </c>
      <c r="C245" s="1" t="s">
        <v>1184</v>
      </c>
      <c r="D245" s="1">
        <v>2026.0</v>
      </c>
      <c r="E245" s="1" t="s">
        <v>374</v>
      </c>
      <c r="F245" s="1" t="s">
        <v>1185</v>
      </c>
      <c r="G245" s="1">
        <v>5.0</v>
      </c>
      <c r="H245" s="1">
        <v>5.0</v>
      </c>
      <c r="I245" s="1">
        <v>1.0</v>
      </c>
      <c r="J245" s="1">
        <v>5.0</v>
      </c>
      <c r="K245" s="1">
        <v>5.0</v>
      </c>
      <c r="L245" s="1">
        <v>3.0</v>
      </c>
      <c r="M245" s="1">
        <v>4.0</v>
      </c>
      <c r="N245" s="1">
        <v>5.0</v>
      </c>
      <c r="O245" s="1">
        <v>5.0</v>
      </c>
      <c r="P245" s="1">
        <v>5.0</v>
      </c>
      <c r="Q245" s="1">
        <v>5.0</v>
      </c>
      <c r="R245" s="1">
        <v>5.0</v>
      </c>
      <c r="S245" s="1">
        <v>5.0</v>
      </c>
      <c r="T245" s="1">
        <v>5.0</v>
      </c>
      <c r="U245" s="1">
        <v>5.0</v>
      </c>
      <c r="V245" s="1">
        <v>5.0</v>
      </c>
      <c r="W245" s="1">
        <v>5.0</v>
      </c>
      <c r="X245" s="1">
        <v>5.0</v>
      </c>
      <c r="Y245" s="1">
        <v>5.0</v>
      </c>
      <c r="Z245" s="1">
        <v>5.0</v>
      </c>
      <c r="AA245" s="1">
        <v>5.0</v>
      </c>
      <c r="AB245" s="1">
        <v>5.0</v>
      </c>
      <c r="AC245" s="1">
        <v>5.0</v>
      </c>
      <c r="AD245" s="1">
        <v>5.0</v>
      </c>
      <c r="AE245" s="1">
        <v>5.0</v>
      </c>
      <c r="AF245" s="1">
        <v>5.0</v>
      </c>
      <c r="AG245" s="1">
        <v>5.0</v>
      </c>
      <c r="AH245" s="1">
        <v>5.0</v>
      </c>
      <c r="AI245" s="1">
        <v>5.0</v>
      </c>
      <c r="AJ245" s="1">
        <v>5.0</v>
      </c>
      <c r="AK245" s="1">
        <v>5.0</v>
      </c>
      <c r="AL245" s="1">
        <v>5.0</v>
      </c>
      <c r="AM245" s="1">
        <v>5.0</v>
      </c>
      <c r="AN245" s="1">
        <v>5.0</v>
      </c>
      <c r="AO245" s="1">
        <v>5.0</v>
      </c>
      <c r="AP245" s="1">
        <v>5.0</v>
      </c>
      <c r="AQ245" s="1">
        <v>5.0</v>
      </c>
      <c r="AR245" s="1">
        <v>5.0</v>
      </c>
      <c r="AS245" s="1">
        <v>5.0</v>
      </c>
      <c r="AT245" s="1">
        <v>5.0</v>
      </c>
      <c r="AU245" s="1">
        <v>5.0</v>
      </c>
      <c r="AV245" s="1">
        <v>5.0</v>
      </c>
      <c r="AW245" s="1">
        <v>5.0</v>
      </c>
      <c r="AX245" s="1">
        <v>5.0</v>
      </c>
      <c r="AY245" s="1">
        <v>5.0</v>
      </c>
      <c r="AZ245" s="1">
        <v>5.0</v>
      </c>
      <c r="BA245" s="1">
        <v>5.0</v>
      </c>
      <c r="BB245" s="1">
        <v>5.0</v>
      </c>
      <c r="BC245" s="1">
        <v>5.0</v>
      </c>
      <c r="BD245" s="1">
        <v>5.0</v>
      </c>
      <c r="BE245" s="1">
        <v>5.0</v>
      </c>
      <c r="BF245" s="1">
        <v>5.0</v>
      </c>
      <c r="BG245" s="1">
        <v>5.0</v>
      </c>
      <c r="BH245" s="1">
        <v>5.0</v>
      </c>
      <c r="BI245" s="1">
        <v>5.0</v>
      </c>
      <c r="BJ245" s="1">
        <v>5.0</v>
      </c>
      <c r="BK245" s="1">
        <v>5.0</v>
      </c>
      <c r="BL245" s="1">
        <v>5.0</v>
      </c>
      <c r="BM245" s="1">
        <v>5.0</v>
      </c>
      <c r="BN245" s="1">
        <v>5.0</v>
      </c>
      <c r="BO245" s="1">
        <v>5.0</v>
      </c>
      <c r="BP245" s="1">
        <v>5.0</v>
      </c>
      <c r="BQ245" s="1">
        <v>5.0</v>
      </c>
      <c r="BR245" s="1">
        <v>5.0</v>
      </c>
      <c r="BS245" s="1">
        <v>5.0</v>
      </c>
      <c r="BT245" s="1">
        <v>5.0</v>
      </c>
      <c r="BU245" s="1">
        <v>5.0</v>
      </c>
      <c r="BV245" s="1">
        <v>5.0</v>
      </c>
      <c r="BW245" s="1">
        <v>5.0</v>
      </c>
      <c r="BX245" s="1">
        <v>5.0</v>
      </c>
      <c r="BY245" s="1">
        <v>5.0</v>
      </c>
      <c r="BZ245" s="1">
        <v>5.0</v>
      </c>
    </row>
    <row r="246">
      <c r="A246" s="19">
        <v>46287.409175532404</v>
      </c>
      <c r="B246" s="1" t="s">
        <v>162</v>
      </c>
      <c r="C246" s="1" t="s">
        <v>1189</v>
      </c>
      <c r="D246" s="1">
        <v>2025.0</v>
      </c>
      <c r="E246" s="1" t="s">
        <v>296</v>
      </c>
      <c r="F246" s="1" t="s">
        <v>905</v>
      </c>
      <c r="G246" s="1">
        <v>3.0</v>
      </c>
      <c r="H246" s="1">
        <v>3.0</v>
      </c>
      <c r="I246" s="1">
        <v>4.0</v>
      </c>
      <c r="J246" s="1">
        <v>5.0</v>
      </c>
      <c r="K246" s="1">
        <v>5.0</v>
      </c>
      <c r="L246" s="1">
        <v>5.0</v>
      </c>
      <c r="M246" s="1">
        <v>1.0</v>
      </c>
      <c r="N246" s="1">
        <v>1.0</v>
      </c>
      <c r="O246" s="1">
        <v>4.0</v>
      </c>
      <c r="P246" s="1">
        <v>5.0</v>
      </c>
      <c r="Q246" s="1">
        <v>5.0</v>
      </c>
      <c r="R246" s="1">
        <v>5.0</v>
      </c>
      <c r="S246" s="1">
        <v>4.0</v>
      </c>
      <c r="T246" s="1">
        <v>4.0</v>
      </c>
      <c r="U246" s="1">
        <v>4.0</v>
      </c>
      <c r="V246" s="1">
        <v>5.0</v>
      </c>
      <c r="W246" s="1">
        <v>5.0</v>
      </c>
      <c r="X246" s="1">
        <v>3.0</v>
      </c>
      <c r="Y246" s="1">
        <v>2.0</v>
      </c>
      <c r="Z246" s="1">
        <v>1.0</v>
      </c>
      <c r="AA246" s="1">
        <v>5.0</v>
      </c>
      <c r="AB246" s="1">
        <v>5.0</v>
      </c>
      <c r="AC246" s="1">
        <v>5.0</v>
      </c>
      <c r="AD246" s="1">
        <v>5.0</v>
      </c>
      <c r="AE246" s="1">
        <v>2.0</v>
      </c>
      <c r="AF246" s="1">
        <v>5.0</v>
      </c>
      <c r="AG246" s="1">
        <v>4.0</v>
      </c>
      <c r="AH246" s="1">
        <v>5.0</v>
      </c>
      <c r="AI246" s="1">
        <v>5.0</v>
      </c>
      <c r="AJ246" s="1">
        <v>4.0</v>
      </c>
      <c r="AK246" s="1">
        <v>3.0</v>
      </c>
      <c r="AL246" s="1">
        <v>4.0</v>
      </c>
      <c r="AM246" s="1">
        <v>4.0</v>
      </c>
      <c r="AN246" s="1">
        <v>5.0</v>
      </c>
      <c r="AO246" s="1">
        <v>5.0</v>
      </c>
      <c r="AP246" s="1">
        <v>2.0</v>
      </c>
      <c r="AQ246" s="1">
        <v>2.0</v>
      </c>
      <c r="AR246" s="1">
        <v>1.0</v>
      </c>
      <c r="AS246" s="1">
        <v>5.0</v>
      </c>
      <c r="AT246" s="1">
        <v>5.0</v>
      </c>
      <c r="AU246" s="1">
        <v>5.0</v>
      </c>
      <c r="AV246" s="1">
        <v>5.0</v>
      </c>
      <c r="AW246" s="1">
        <v>1.0</v>
      </c>
      <c r="AX246" s="1">
        <v>2.0</v>
      </c>
      <c r="AY246" s="1">
        <v>5.0</v>
      </c>
      <c r="AZ246" s="1">
        <v>5.0</v>
      </c>
      <c r="BA246" s="1">
        <v>5.0</v>
      </c>
      <c r="BB246" s="1">
        <v>5.0</v>
      </c>
      <c r="BC246" s="1">
        <v>5.0</v>
      </c>
      <c r="BD246" s="1">
        <v>5.0</v>
      </c>
      <c r="BE246" s="1">
        <v>5.0</v>
      </c>
      <c r="BF246" s="1">
        <v>5.0</v>
      </c>
      <c r="BG246" s="1">
        <v>5.0</v>
      </c>
      <c r="BH246" s="1">
        <v>5.0</v>
      </c>
      <c r="BI246" s="1">
        <v>4.0</v>
      </c>
      <c r="BJ246" s="1">
        <v>3.0</v>
      </c>
      <c r="BK246" s="1">
        <v>3.0</v>
      </c>
      <c r="BL246" s="1">
        <v>5.0</v>
      </c>
      <c r="BM246" s="1">
        <v>5.0</v>
      </c>
      <c r="BN246" s="1">
        <v>5.0</v>
      </c>
      <c r="BO246" s="1">
        <v>3.0</v>
      </c>
      <c r="BP246" s="1">
        <v>3.0</v>
      </c>
      <c r="BQ246" s="1">
        <v>5.0</v>
      </c>
      <c r="BR246" s="1">
        <v>5.0</v>
      </c>
      <c r="BS246" s="1">
        <v>5.0</v>
      </c>
      <c r="BT246" s="1">
        <v>4.0</v>
      </c>
      <c r="BU246" s="1">
        <v>5.0</v>
      </c>
      <c r="BV246" s="1">
        <v>4.0</v>
      </c>
      <c r="BW246" s="1">
        <v>5.0</v>
      </c>
      <c r="BX246" s="1">
        <v>5.0</v>
      </c>
      <c r="BY246" s="1">
        <v>5.0</v>
      </c>
      <c r="BZ246" s="1">
        <v>1.0</v>
      </c>
    </row>
    <row r="247">
      <c r="A247" s="19">
        <v>46287.410578518524</v>
      </c>
      <c r="B247" s="1" t="s">
        <v>162</v>
      </c>
      <c r="C247" s="1" t="s">
        <v>1193</v>
      </c>
      <c r="D247" s="1">
        <v>2025.0</v>
      </c>
      <c r="E247" s="1" t="s">
        <v>296</v>
      </c>
      <c r="F247" s="1" t="s">
        <v>1194</v>
      </c>
      <c r="G247" s="1">
        <v>4.0</v>
      </c>
      <c r="H247" s="1">
        <v>3.0</v>
      </c>
      <c r="I247" s="1">
        <v>2.0</v>
      </c>
      <c r="J247" s="1">
        <v>4.0</v>
      </c>
      <c r="K247" s="1">
        <v>4.0</v>
      </c>
      <c r="L247" s="1">
        <v>3.0</v>
      </c>
      <c r="M247" s="1">
        <v>4.0</v>
      </c>
      <c r="N247" s="1">
        <v>3.0</v>
      </c>
      <c r="O247" s="1">
        <v>4.0</v>
      </c>
      <c r="P247" s="1">
        <v>4.0</v>
      </c>
      <c r="Q247" s="1">
        <v>4.0</v>
      </c>
      <c r="R247" s="1">
        <v>4.0</v>
      </c>
      <c r="S247" s="1">
        <v>4.0</v>
      </c>
      <c r="T247" s="1">
        <v>4.0</v>
      </c>
      <c r="U247" s="1">
        <v>3.0</v>
      </c>
      <c r="V247" s="1">
        <v>4.0</v>
      </c>
      <c r="W247" s="1">
        <v>4.0</v>
      </c>
      <c r="X247" s="1">
        <v>3.0</v>
      </c>
      <c r="Y247" s="1">
        <v>4.0</v>
      </c>
      <c r="Z247" s="1">
        <v>3.0</v>
      </c>
      <c r="AA247" s="1">
        <v>3.0</v>
      </c>
      <c r="AB247" s="1">
        <v>4.0</v>
      </c>
      <c r="AC247" s="1">
        <v>4.0</v>
      </c>
      <c r="AD247" s="1">
        <v>3.0</v>
      </c>
      <c r="AE247" s="1">
        <v>3.0</v>
      </c>
      <c r="AF247" s="1">
        <v>4.0</v>
      </c>
      <c r="AG247" s="1">
        <v>4.0</v>
      </c>
      <c r="AH247" s="1">
        <v>4.0</v>
      </c>
      <c r="AI247" s="1">
        <v>4.0</v>
      </c>
      <c r="AJ247" s="1">
        <v>4.0</v>
      </c>
      <c r="AK247" s="1">
        <v>4.0</v>
      </c>
      <c r="AL247" s="1">
        <v>4.0</v>
      </c>
      <c r="AM247" s="1">
        <v>2.0</v>
      </c>
      <c r="AN247" s="1">
        <v>4.0</v>
      </c>
      <c r="AO247" s="1">
        <v>3.0</v>
      </c>
      <c r="AP247" s="1">
        <v>4.0</v>
      </c>
      <c r="AQ247" s="1">
        <v>4.0</v>
      </c>
      <c r="AR247" s="1">
        <v>3.0</v>
      </c>
      <c r="AS247" s="1">
        <v>4.0</v>
      </c>
      <c r="AT247" s="1">
        <v>4.0</v>
      </c>
      <c r="AU247" s="1">
        <v>4.0</v>
      </c>
      <c r="AV247" s="1">
        <v>4.0</v>
      </c>
      <c r="AW247" s="1">
        <v>4.0</v>
      </c>
      <c r="AX247" s="1">
        <v>4.0</v>
      </c>
      <c r="AY247" s="1">
        <v>3.0</v>
      </c>
      <c r="AZ247" s="1">
        <v>4.0</v>
      </c>
      <c r="BA247" s="1">
        <v>4.0</v>
      </c>
      <c r="BB247" s="1">
        <v>4.0</v>
      </c>
      <c r="BC247" s="1">
        <v>4.0</v>
      </c>
      <c r="BD247" s="1">
        <v>4.0</v>
      </c>
      <c r="BE247" s="1">
        <v>2.0</v>
      </c>
      <c r="BF247" s="1">
        <v>4.0</v>
      </c>
      <c r="BG247" s="1">
        <v>4.0</v>
      </c>
      <c r="BH247" s="1">
        <v>3.0</v>
      </c>
      <c r="BI247" s="1">
        <v>4.0</v>
      </c>
      <c r="BJ247" s="1">
        <v>3.0</v>
      </c>
      <c r="BK247" s="1">
        <v>4.0</v>
      </c>
      <c r="BL247" s="1">
        <v>4.0</v>
      </c>
      <c r="BM247" s="1">
        <v>4.0</v>
      </c>
      <c r="BN247" s="1">
        <v>4.0</v>
      </c>
      <c r="BO247" s="1">
        <v>4.0</v>
      </c>
      <c r="BP247" s="1">
        <v>4.0</v>
      </c>
      <c r="BQ247" s="1">
        <v>4.0</v>
      </c>
      <c r="BR247" s="1">
        <v>4.0</v>
      </c>
      <c r="BS247" s="1">
        <v>4.0</v>
      </c>
      <c r="BT247" s="1">
        <v>4.0</v>
      </c>
      <c r="BU247" s="1">
        <v>4.0</v>
      </c>
      <c r="BV247" s="1">
        <v>4.0</v>
      </c>
      <c r="BW247" s="1">
        <v>4.0</v>
      </c>
      <c r="BX247" s="1">
        <v>4.0</v>
      </c>
      <c r="BY247" s="1">
        <v>4.0</v>
      </c>
      <c r="BZ247" s="1">
        <v>4.0</v>
      </c>
    </row>
    <row r="248">
      <c r="A248" s="19">
        <v>46287.415670381946</v>
      </c>
      <c r="B248" s="1" t="s">
        <v>162</v>
      </c>
      <c r="C248" s="1" t="s">
        <v>1133</v>
      </c>
      <c r="D248" s="1">
        <v>2025.0</v>
      </c>
      <c r="E248" s="1" t="s">
        <v>591</v>
      </c>
      <c r="F248" s="1" t="s">
        <v>1134</v>
      </c>
      <c r="G248" s="1">
        <v>5.0</v>
      </c>
      <c r="H248" s="1">
        <v>4.0</v>
      </c>
      <c r="I248" s="1">
        <v>1.0</v>
      </c>
      <c r="J248" s="1">
        <v>4.0</v>
      </c>
      <c r="K248" s="1">
        <v>3.0</v>
      </c>
      <c r="L248" s="1">
        <v>2.0</v>
      </c>
      <c r="M248" s="1">
        <v>4.0</v>
      </c>
      <c r="N248" s="1">
        <v>4.0</v>
      </c>
      <c r="O248" s="1">
        <v>3.0</v>
      </c>
      <c r="P248" s="1">
        <v>3.0</v>
      </c>
      <c r="Q248" s="1">
        <v>3.0</v>
      </c>
      <c r="R248" s="1">
        <v>5.0</v>
      </c>
      <c r="S248" s="1">
        <v>3.0</v>
      </c>
      <c r="T248" s="1">
        <v>2.0</v>
      </c>
      <c r="U248" s="1">
        <v>1.0</v>
      </c>
      <c r="V248" s="1">
        <v>3.0</v>
      </c>
      <c r="W248" s="1">
        <v>3.0</v>
      </c>
      <c r="X248" s="1">
        <v>3.0</v>
      </c>
      <c r="Y248" s="1">
        <v>5.0</v>
      </c>
      <c r="Z248" s="1">
        <v>4.0</v>
      </c>
      <c r="AA248" s="1">
        <v>5.0</v>
      </c>
      <c r="AB248" s="1">
        <v>3.0</v>
      </c>
      <c r="AC248" s="1">
        <v>3.0</v>
      </c>
      <c r="AD248" s="1">
        <v>3.0</v>
      </c>
      <c r="AE248" s="1">
        <v>1.0</v>
      </c>
      <c r="AF248" s="1">
        <v>2.0</v>
      </c>
      <c r="AG248" s="1">
        <v>3.0</v>
      </c>
      <c r="AH248" s="1">
        <v>5.0</v>
      </c>
      <c r="AI248" s="1">
        <v>3.0</v>
      </c>
      <c r="AJ248" s="1">
        <v>4.0</v>
      </c>
      <c r="AK248" s="1">
        <v>4.0</v>
      </c>
      <c r="AL248" s="1">
        <v>4.0</v>
      </c>
      <c r="AM248" s="1">
        <v>1.0</v>
      </c>
      <c r="AN248" s="1">
        <v>3.0</v>
      </c>
      <c r="AO248" s="1">
        <v>4.0</v>
      </c>
      <c r="AP248" s="1">
        <v>2.0</v>
      </c>
      <c r="AQ248" s="1">
        <v>3.0</v>
      </c>
      <c r="AR248" s="1">
        <v>4.0</v>
      </c>
      <c r="AS248" s="1">
        <v>3.0</v>
      </c>
      <c r="AT248" s="1">
        <v>3.0</v>
      </c>
      <c r="AU248" s="1">
        <v>3.0</v>
      </c>
      <c r="AV248" s="1">
        <v>5.0</v>
      </c>
      <c r="AW248" s="1">
        <v>5.0</v>
      </c>
      <c r="AX248" s="1">
        <v>2.0</v>
      </c>
      <c r="AY248" s="1">
        <v>4.0</v>
      </c>
      <c r="AZ248" s="1">
        <v>4.0</v>
      </c>
      <c r="BA248" s="1">
        <v>4.0</v>
      </c>
      <c r="BB248" s="1">
        <v>4.0</v>
      </c>
      <c r="BC248" s="1">
        <v>3.0</v>
      </c>
      <c r="BD248" s="1">
        <v>3.0</v>
      </c>
      <c r="BE248" s="1">
        <v>1.0</v>
      </c>
      <c r="BF248" s="1">
        <v>4.0</v>
      </c>
      <c r="BG248" s="1">
        <v>4.0</v>
      </c>
      <c r="BH248" s="1">
        <v>4.0</v>
      </c>
      <c r="BI248" s="1">
        <v>4.0</v>
      </c>
      <c r="BJ248" s="1">
        <v>4.0</v>
      </c>
      <c r="BK248" s="1">
        <v>3.0</v>
      </c>
      <c r="BL248" s="1">
        <v>3.0</v>
      </c>
      <c r="BM248" s="1">
        <v>3.0</v>
      </c>
      <c r="BN248" s="1">
        <v>4.0</v>
      </c>
      <c r="BO248" s="1">
        <v>3.0</v>
      </c>
      <c r="BP248" s="1">
        <v>4.0</v>
      </c>
      <c r="BQ248" s="1">
        <v>3.0</v>
      </c>
      <c r="BR248" s="1">
        <v>4.0</v>
      </c>
      <c r="BS248" s="1">
        <v>4.0</v>
      </c>
      <c r="BT248" s="1">
        <v>4.0</v>
      </c>
      <c r="BU248" s="1">
        <v>3.0</v>
      </c>
      <c r="BV248" s="1">
        <v>3.0</v>
      </c>
      <c r="BW248" s="1">
        <v>2.0</v>
      </c>
      <c r="BX248" s="1">
        <v>3.0</v>
      </c>
      <c r="BY248" s="1">
        <v>3.0</v>
      </c>
      <c r="BZ248" s="1">
        <v>3.0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12</v>
      </c>
      <c r="B1" s="3" t="s">
        <v>44</v>
      </c>
    </row>
    <row r="2">
      <c r="A2" s="3" t="s">
        <v>35</v>
      </c>
      <c r="B2" s="3" t="s">
        <v>45</v>
      </c>
    </row>
    <row r="3">
      <c r="A3" s="3" t="s">
        <v>37</v>
      </c>
      <c r="B3" s="6" t="s">
        <v>50</v>
      </c>
    </row>
    <row r="4">
      <c r="A4" s="3" t="s">
        <v>40</v>
      </c>
      <c r="B4" s="6" t="s">
        <v>58</v>
      </c>
    </row>
    <row r="5">
      <c r="A5" s="3" t="s">
        <v>41</v>
      </c>
      <c r="B5" s="6" t="s">
        <v>59</v>
      </c>
    </row>
    <row r="6">
      <c r="A6" s="3" t="s">
        <v>42</v>
      </c>
      <c r="B6" s="6" t="s">
        <v>61</v>
      </c>
    </row>
    <row r="7">
      <c r="A7" s="6" t="s">
        <v>43</v>
      </c>
      <c r="B7" s="6" t="s">
        <v>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13</v>
      </c>
      <c r="M1" s="1" t="s">
        <v>14</v>
      </c>
      <c r="N1" s="1" t="s">
        <v>15</v>
      </c>
      <c r="O1" s="1" t="s">
        <v>16</v>
      </c>
      <c r="P1" s="1" t="s">
        <v>17</v>
      </c>
      <c r="Q1" s="1" t="s">
        <v>18</v>
      </c>
      <c r="R1" s="1" t="s">
        <v>19</v>
      </c>
      <c r="S1" s="1" t="s">
        <v>20</v>
      </c>
      <c r="T1" s="1" t="s">
        <v>21</v>
      </c>
      <c r="U1" s="1" t="s">
        <v>23</v>
      </c>
      <c r="V1" s="1" t="s">
        <v>24</v>
      </c>
      <c r="W1" s="1" t="s">
        <v>26</v>
      </c>
      <c r="X1" s="1" t="s">
        <v>28</v>
      </c>
      <c r="Y1" s="1" t="s">
        <v>29</v>
      </c>
      <c r="Z1" s="1" t="s">
        <v>30</v>
      </c>
      <c r="AA1" s="1" t="s">
        <v>31</v>
      </c>
      <c r="AB1" s="1" t="s">
        <v>33</v>
      </c>
      <c r="AC1" s="1" t="s">
        <v>34</v>
      </c>
    </row>
    <row r="2">
      <c r="A2" s="1" t="s">
        <v>36</v>
      </c>
      <c r="B2" s="1" t="s">
        <v>38</v>
      </c>
      <c r="C2" s="1" t="s">
        <v>39</v>
      </c>
      <c r="D2" s="4">
        <v>1.201360266E9</v>
      </c>
      <c r="E2" s="4">
        <v>1.0</v>
      </c>
      <c r="F2" s="4">
        <v>2.0</v>
      </c>
      <c r="G2" s="1" t="s">
        <v>46</v>
      </c>
      <c r="H2" s="1" t="s">
        <v>47</v>
      </c>
      <c r="I2" s="1" t="s">
        <v>47</v>
      </c>
      <c r="J2" s="1" t="s">
        <v>48</v>
      </c>
      <c r="K2" s="1" t="s">
        <v>49</v>
      </c>
      <c r="L2" s="1" t="s">
        <v>49</v>
      </c>
      <c r="M2" s="1" t="s">
        <v>51</v>
      </c>
      <c r="N2" s="1" t="b">
        <v>1</v>
      </c>
      <c r="O2" s="1" t="s">
        <v>53</v>
      </c>
      <c r="P2" s="1" t="b">
        <v>0</v>
      </c>
      <c r="R2" s="1" t="b">
        <v>0</v>
      </c>
      <c r="S2" s="1" t="b">
        <v>0</v>
      </c>
      <c r="T2" s="1" t="s">
        <v>54</v>
      </c>
      <c r="X2" s="1" t="b">
        <v>0</v>
      </c>
      <c r="Y2" s="1" t="s">
        <v>55</v>
      </c>
      <c r="Z2" s="1" t="s">
        <v>56</v>
      </c>
      <c r="AA2" s="1" t="b">
        <v>0</v>
      </c>
      <c r="AC2" s="1" t="s">
        <v>57</v>
      </c>
    </row>
    <row r="3">
      <c r="A3" s="8"/>
      <c r="B3" s="8"/>
      <c r="C3" s="8"/>
      <c r="G3" s="8"/>
      <c r="H3" s="8"/>
      <c r="I3" s="8"/>
      <c r="J3" s="8"/>
      <c r="K3" s="8"/>
      <c r="L3" s="8"/>
      <c r="M3" s="8"/>
      <c r="N3" s="8"/>
      <c r="O3" s="8"/>
      <c r="P3" s="8"/>
      <c r="R3" s="8"/>
      <c r="S3" s="8"/>
      <c r="T3" s="8"/>
      <c r="X3" s="8"/>
      <c r="Y3" s="8"/>
      <c r="Z3" s="8"/>
      <c r="AA3" s="8"/>
    </row>
  </sheetData>
  <drawing r:id="rId1"/>
</worksheet>
</file>